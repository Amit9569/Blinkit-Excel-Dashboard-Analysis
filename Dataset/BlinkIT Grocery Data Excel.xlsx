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P\OneDrive\Desktop\Mission 2026\Excel project\blinkit sales analysis\"/>
    </mc:Choice>
  </mc:AlternateContent>
  <xr:revisionPtr revIDLastSave="0" documentId="13_ncr:1_{AA811803-634F-41E1-839E-ECF322C23690}" xr6:coauthVersionLast="47" xr6:coauthVersionMax="47" xr10:uidLastSave="{00000000-0000-0000-0000-000000000000}"/>
  <bookViews>
    <workbookView xWindow="-120" yWindow="-120" windowWidth="20730" windowHeight="11040" activeTab="1" xr2:uid="{F8420BDF-C08E-4FBB-891B-F574F63AC6D0}"/>
  </bookViews>
  <sheets>
    <sheet name="BlinkIT Grocery Data" sheetId="1" r:id="rId1"/>
    <sheet name="Sheet design" sheetId="5" r:id="rId2"/>
    <sheet name="Dashboard" sheetId="4" r:id="rId3"/>
  </sheets>
  <definedNames>
    <definedName name="_xlchart.v2.0" hidden="1">'Sheet design'!$A$96:$A$98</definedName>
    <definedName name="_xlchart.v2.1" hidden="1">'Sheet design'!$B$96:$B$98</definedName>
    <definedName name="_xlchart.v2.2" hidden="1">'Sheet design'!$C$96:$C$98</definedName>
    <definedName name="_xlchart.v2.3" hidden="1">'Sheet design'!$A$96:$A$98</definedName>
    <definedName name="_xlchart.v2.4" hidden="1">'Sheet design'!$B$96:$B$98</definedName>
    <definedName name="_xlchart.v2.5" hidden="1">'Sheet design'!$C$96:$C$98</definedName>
    <definedName name="Slicer_Item_Type">#N/A</definedName>
    <definedName name="Slicer_Outlet_Location_Type">#N/A</definedName>
    <definedName name="Slicer_Outlet_Size">#N/A</definedName>
  </definedNames>
  <calcPr calcId="191029"/>
  <pivotCaches>
    <pivotCache cacheId="4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7" i="5" l="1"/>
  <c r="D98" i="5"/>
  <c r="D96" i="5"/>
  <c r="D6" i="5"/>
  <c r="C6" i="5"/>
  <c r="B6" i="5"/>
  <c r="A6" i="5"/>
  <c r="E98" i="5"/>
  <c r="E97" i="5"/>
  <c r="E96" i="5"/>
</calcChain>
</file>

<file path=xl/sharedStrings.xml><?xml version="1.0" encoding="utf-8"?>
<sst xmlns="http://schemas.openxmlformats.org/spreadsheetml/2006/main" count="59741" uniqueCount="1626">
  <si>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</si>
  <si>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</si>
  <si>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</si>
  <si>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</si>
  <si>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</si>
  <si>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</si>
  <si>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</si>
  <si>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</si>
  <si>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</si>
  <si>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</si>
  <si>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</si>
  <si>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</si>
  <si>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</si>
  <si>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</si>
  <si>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</si>
  <si>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</si>
  <si>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</si>
  <si>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</si>
  <si>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</si>
  <si>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</si>
  <si>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</si>
  <si>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</si>
  <si>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</si>
  <si>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</si>
  <si>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</si>
  <si>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</si>
  <si>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</si>
  <si>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</si>
  <si>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</si>
  <si>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</si>
  <si>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</si>
  <si>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</si>
  <si>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</si>
  <si>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</si>
  <si>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</si>
  <si>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</si>
  <si>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</si>
  <si>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</si>
  <si>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</si>
  <si>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</si>
  <si>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</si>
  <si>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</si>
  <si>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</si>
  <si>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</si>
  <si>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</si>
  <si>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</si>
  <si>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</si>
  <si>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</si>
  <si>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</si>
  <si>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</si>
  <si>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</si>
  <si>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</si>
  <si>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</si>
  <si>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</si>
  <si>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</si>
  <si>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</si>
  <si>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</si>
  <si>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</si>
  <si>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</si>
  <si>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</si>
  <si>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</si>
  <si>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</si>
  <si>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</si>
  <si>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</si>
  <si>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</si>
  <si>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</si>
  <si>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</si>
  <si>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</si>
  <si>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</si>
  <si>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</si>
  <si>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</si>
  <si>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</si>
  <si>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</si>
  <si>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</si>
  <si>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</si>
  <si>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</si>
  <si>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</si>
  <si>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</si>
  <si>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</si>
  <si>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</si>
  <si>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</si>
  <si>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</si>
  <si>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</si>
  <si>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</si>
  <si>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</si>
  <si>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</si>
  <si>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</si>
  <si>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</si>
  <si>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</si>
  <si>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</si>
  <si>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</si>
  <si>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</si>
  <si>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</si>
  <si>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</si>
  <si>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</si>
  <si>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</si>
  <si>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</si>
  <si>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</si>
  <si>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</si>
  <si>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</si>
  <si>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</si>
  <si>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</si>
  <si>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</si>
  <si>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</si>
  <si>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</si>
  <si>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</si>
  <si>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</si>
  <si>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</si>
  <si>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</si>
  <si>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</si>
  <si>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</si>
  <si>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</si>
  <si>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</si>
  <si>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</si>
  <si>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</si>
  <si>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</si>
  <si>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</si>
  <si>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</si>
  <si>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</si>
  <si>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</si>
  <si>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</si>
  <si>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</si>
  <si>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</si>
  <si>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</si>
  <si>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</si>
  <si>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</si>
  <si>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</si>
  <si>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</si>
  <si>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</si>
  <si>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</si>
  <si>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</si>
  <si>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</si>
  <si>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</si>
  <si>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</si>
  <si>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</si>
  <si>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</si>
  <si>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</si>
  <si>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</si>
  <si>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</si>
  <si>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</si>
  <si>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</si>
  <si>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</si>
  <si>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</si>
  <si>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</si>
  <si>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</si>
  <si>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</si>
  <si>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</si>
  <si>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</si>
  <si>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</si>
  <si>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</si>
  <si>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</si>
  <si>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</si>
  <si>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</si>
  <si>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</si>
  <si>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</si>
  <si>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</si>
  <si>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</si>
  <si>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</si>
  <si>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</si>
  <si>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</si>
  <si>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</si>
  <si>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</si>
  <si>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</si>
  <si>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</si>
  <si>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</si>
  <si>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</si>
  <si>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</si>
  <si>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</si>
  <si>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</si>
  <si>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</si>
  <si>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</si>
  <si>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</si>
  <si>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</si>
  <si>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</si>
  <si>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</si>
  <si>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</si>
  <si>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</si>
  <si>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</si>
  <si>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</si>
  <si>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</si>
  <si>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</si>
  <si>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</si>
  <si>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</si>
  <si>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</si>
  <si>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</si>
  <si>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</si>
  <si>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</si>
  <si>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</si>
  <si>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</si>
  <si>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</si>
  <si>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</si>
  <si>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</si>
  <si>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</si>
  <si>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</si>
  <si>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</si>
  <si>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</si>
  <si>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</si>
  <si>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</si>
  <si>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</si>
  <si>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</si>
  <si>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</si>
  <si>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</si>
  <si>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</si>
  <si>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</si>
  <si>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</si>
  <si>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</si>
  <si>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</si>
  <si>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</si>
  <si>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</si>
  <si>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</si>
  <si>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</si>
  <si>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</si>
  <si>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</si>
  <si>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</si>
  <si>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</si>
  <si>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</si>
  <si>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</si>
  <si>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</si>
  <si>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</si>
  <si>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</si>
  <si>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</si>
  <si>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</si>
  <si>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</si>
  <si>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</si>
  <si>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</si>
  <si>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</si>
  <si>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</si>
  <si>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</si>
  <si>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</si>
  <si>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</si>
  <si>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</si>
  <si>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</si>
  <si>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</si>
  <si>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</si>
  <si>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</si>
  <si>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</si>
  <si>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</si>
  <si>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</si>
  <si>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</si>
  <si>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</si>
  <si>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</si>
  <si>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</si>
  <si>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</si>
  <si>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</si>
  <si>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</si>
  <si>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</si>
  <si>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</si>
  <si>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</si>
  <si>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</si>
  <si>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</si>
  <si>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</si>
  <si>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</si>
  <si>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</si>
  <si>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</si>
  <si>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</si>
  <si>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</si>
  <si>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</si>
  <si>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</si>
  <si>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</si>
  <si>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</si>
  <si>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</si>
  <si>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</si>
  <si>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</si>
  <si>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</si>
  <si>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</si>
  <si>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</si>
  <si>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</si>
  <si>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</si>
  <si>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</si>
  <si>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</si>
  <si>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</si>
  <si>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</si>
  <si>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</si>
  <si>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</si>
  <si>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</si>
  <si>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</si>
  <si>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</si>
  <si>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</si>
  <si>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</si>
  <si>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</si>
  <si>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</si>
  <si>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</si>
  <si>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</si>
  <si>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</si>
  <si>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</si>
  <si>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</si>
  <si>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</si>
  <si>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</si>
  <si>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</si>
  <si>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</si>
  <si>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</si>
  <si>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</si>
  <si>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</si>
  <si>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</si>
  <si>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</si>
  <si>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</si>
  <si>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</si>
  <si>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</si>
  <si>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</si>
  <si>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</si>
  <si>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</si>
  <si>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</si>
  <si>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</si>
  <si>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</si>
  <si>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</si>
  <si>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</si>
  <si>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</si>
  <si>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</si>
  <si>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</si>
  <si>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</si>
  <si>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</si>
  <si>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</si>
  <si>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</si>
  <si>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</si>
  <si>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</si>
  <si>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</si>
  <si>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</si>
  <si>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</si>
  <si>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</si>
  <si>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</si>
  <si>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</si>
  <si>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</si>
  <si>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</si>
  <si>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</si>
  <si>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</si>
  <si>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</si>
  <si>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</si>
  <si>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</si>
  <si>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</si>
  <si>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</si>
  <si>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</si>
  <si>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</si>
  <si>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</si>
  <si>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</si>
  <si>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</si>
  <si>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</si>
  <si>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</si>
  <si>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</si>
  <si>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</si>
  <si>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</si>
  <si>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</si>
  <si>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</si>
  <si>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</si>
  <si>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</si>
  <si>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</si>
  <si>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</si>
  <si>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</si>
  <si>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</si>
  <si>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</si>
  <si>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</si>
  <si>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</si>
  <si>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</si>
  <si>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</si>
  <si>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</si>
  <si>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</si>
  <si>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</si>
  <si>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</si>
  <si>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</si>
  <si>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</si>
  <si>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</si>
  <si>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</si>
  <si>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</si>
  <si>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</si>
  <si>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</si>
  <si>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</si>
  <si>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</si>
  <si>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</si>
  <si>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</si>
  <si>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</si>
  <si>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</si>
  <si>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</si>
  <si>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</si>
  <si>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</si>
  <si>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</si>
  <si>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</si>
  <si>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</si>
  <si>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</si>
  <si>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</si>
  <si>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</si>
  <si>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</si>
  <si>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</si>
  <si>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</si>
  <si>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</si>
  <si>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</si>
  <si>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</si>
  <si>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</si>
  <si>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</si>
  <si>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</si>
  <si>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</si>
  <si>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</si>
  <si>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</si>
  <si>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</si>
  <si>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</si>
  <si>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</si>
  <si>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</si>
  <si>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</si>
  <si>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</si>
  <si>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</si>
  <si>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</si>
  <si>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</si>
  <si>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</si>
  <si>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</si>
  <si>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</si>
  <si>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</si>
  <si>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</si>
  <si>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</si>
  <si>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</si>
  <si>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</si>
  <si>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</si>
  <si>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</si>
  <si>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</si>
  <si>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</si>
  <si>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</si>
  <si>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</si>
  <si>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</si>
  <si>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</si>
  <si>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</si>
  <si>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</si>
  <si>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</si>
  <si>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</si>
  <si>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</si>
  <si>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</si>
  <si>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</si>
  <si>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</si>
  <si>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</si>
  <si>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</si>
  <si>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</si>
  <si>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</si>
  <si>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</si>
  <si>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</si>
  <si>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</si>
  <si>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</si>
  <si>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</si>
  <si>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</si>
  <si>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</si>
  <si>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</si>
  <si>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</si>
  <si>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</si>
  <si>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</si>
  <si>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</si>
  <si>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</si>
  <si>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</si>
  <si>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</si>
  <si>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</si>
  <si>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</si>
  <si>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</si>
  <si>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</si>
  <si>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</si>
  <si>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</si>
  <si>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</si>
  <si>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</si>
  <si>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</si>
  <si>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</si>
  <si>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</si>
  <si>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</si>
  <si>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</si>
  <si>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</si>
  <si>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</si>
  <si>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</si>
  <si>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</si>
  <si>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</si>
  <si>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</si>
  <si>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</si>
  <si>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</si>
  <si>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</si>
  <si>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</si>
  <si>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</si>
  <si>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</si>
  <si>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</si>
  <si>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</si>
  <si>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</si>
  <si>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</si>
  <si>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</si>
  <si>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</si>
  <si>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</si>
  <si>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</si>
  <si>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</si>
  <si>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</si>
  <si>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</si>
  <si>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</si>
  <si>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</si>
  <si>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</si>
  <si>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</si>
  <si>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</si>
  <si>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</si>
  <si>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</si>
  <si>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</si>
  <si>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</si>
  <si>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</si>
  <si>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</si>
  <si>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</si>
  <si>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</si>
  <si>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</si>
  <si>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</si>
  <si>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</si>
  <si>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</si>
  <si>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</si>
  <si>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</si>
  <si>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</si>
  <si>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</si>
  <si>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</si>
  <si>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</si>
  <si>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</si>
  <si>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</si>
  <si>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</si>
  <si>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</si>
  <si>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</si>
  <si>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</si>
  <si>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</si>
  <si>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</si>
  <si>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</si>
  <si>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</si>
  <si>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</si>
  <si>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</si>
  <si>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</si>
  <si>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</si>
  <si>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</si>
  <si>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</si>
  <si>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</si>
  <si>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</si>
  <si>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</si>
  <si>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</si>
  <si>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</si>
  <si>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</si>
  <si>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</si>
  <si>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</si>
  <si>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</si>
  <si>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</si>
  <si>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</si>
  <si>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</si>
  <si>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</si>
  <si>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</si>
  <si>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</si>
  <si>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</si>
  <si>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</si>
  <si>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</si>
  <si>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</si>
  <si>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</si>
  <si>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</si>
  <si>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</si>
  <si>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</si>
  <si>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</si>
  <si>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</si>
  <si>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</si>
  <si>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</si>
  <si>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</si>
  <si>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</si>
  <si>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</si>
  <si>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</si>
  <si>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</si>
  <si>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</si>
  <si>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</si>
  <si>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</si>
  <si>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</si>
  <si>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</si>
  <si>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</si>
  <si>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</si>
  <si>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</si>
  <si>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</si>
  <si>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</si>
  <si>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</si>
  <si>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</si>
  <si>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</si>
  <si>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</si>
  <si>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</si>
  <si>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</si>
  <si>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</si>
  <si>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</si>
  <si>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</si>
  <si>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</si>
  <si>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</si>
  <si>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</si>
  <si>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</si>
  <si>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</si>
  <si>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</si>
  <si>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</si>
  <si>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</si>
  <si>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</si>
  <si>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</si>
  <si>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</si>
  <si>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</si>
  <si>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</si>
  <si>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</si>
  <si>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</si>
  <si>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</si>
  <si>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</si>
  <si>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</si>
  <si>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</si>
  <si>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</si>
  <si>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</si>
  <si>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</si>
  <si>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</si>
  <si>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</si>
  <si>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</si>
  <si>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</si>
  <si>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</si>
  <si>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</si>
  <si>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</si>
  <si>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</si>
  <si>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</si>
  <si>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</si>
  <si>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</si>
  <si>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</si>
  <si>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</si>
  <si>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</si>
  <si>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</si>
  <si>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</si>
  <si>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</si>
  <si>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</si>
  <si>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</si>
  <si>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</si>
  <si>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</si>
  <si>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</si>
  <si>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</si>
  <si>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</si>
  <si>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</si>
  <si>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</si>
  <si>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</si>
  <si>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</si>
  <si>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</si>
  <si>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</si>
  <si>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</si>
  <si>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</si>
  <si>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</si>
  <si>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</si>
  <si>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</si>
  <si>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</si>
  <si>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</si>
  <si>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</si>
  <si>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</si>
  <si>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</si>
  <si>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</si>
  <si>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</si>
  <si>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</si>
  <si>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</si>
  <si>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</si>
  <si>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</si>
  <si>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</si>
  <si>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</si>
  <si>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</si>
  <si>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</si>
  <si>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</si>
  <si>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</si>
  <si>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</si>
  <si>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</si>
  <si>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</si>
  <si>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</si>
  <si>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</si>
  <si>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</si>
  <si>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</si>
  <si>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</si>
  <si>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</si>
  <si>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</si>
  <si>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</si>
  <si>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</si>
  <si>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</si>
  <si>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</si>
  <si>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</si>
  <si>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</si>
  <si>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</si>
  <si>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</si>
  <si>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</si>
  <si>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</si>
  <si>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</si>
  <si>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</si>
  <si>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</si>
  <si>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</si>
  <si>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</si>
  <si>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</si>
  <si>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</si>
  <si>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</si>
  <si>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</si>
  <si>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</si>
  <si>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</si>
  <si>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</si>
  <si>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</si>
  <si>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</si>
  <si>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</si>
  <si>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</si>
  <si>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</si>
  <si>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</si>
  <si>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</si>
  <si>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</si>
  <si>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</si>
  <si>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</si>
  <si>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</si>
  <si>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</si>
  <si>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</si>
  <si>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</si>
  <si>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</si>
  <si>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</si>
  <si>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</si>
  <si>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</si>
  <si>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</si>
  <si>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</si>
  <si>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</si>
  <si>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</si>
  <si>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</si>
  <si>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</si>
  <si>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</si>
  <si>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</si>
  <si>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</si>
  <si>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</si>
  <si>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</si>
  <si>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</si>
  <si>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</si>
  <si>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</si>
  <si>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</si>
  <si>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</si>
  <si>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</si>
  <si>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</si>
  <si>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</si>
  <si>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</si>
  <si>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</si>
  <si>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</si>
  <si>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</si>
  <si>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</si>
  <si>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</si>
  <si>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</si>
  <si>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</si>
  <si>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</si>
  <si>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</si>
  <si>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</si>
  <si>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</si>
  <si>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</si>
  <si>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</si>
  <si>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</si>
  <si>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</si>
  <si>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</si>
  <si>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</si>
  <si>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</si>
  <si>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</si>
  <si>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</si>
  <si>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</si>
  <si>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</si>
  <si>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</si>
  <si>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</si>
  <si>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</si>
  <si>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</si>
  <si>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</si>
  <si>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</si>
  <si>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</si>
  <si>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</si>
  <si>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</si>
  <si>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</si>
  <si>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</si>
  <si>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</si>
  <si>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</si>
  <si>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</si>
  <si>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</si>
  <si>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</si>
  <si>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</si>
  <si>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</si>
  <si>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</si>
  <si>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</si>
  <si>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</si>
  <si>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</si>
  <si>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</si>
  <si>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</si>
  <si>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</si>
  <si>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</si>
  <si>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</si>
  <si>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</si>
  <si>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</si>
  <si>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</si>
  <si>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</si>
  <si>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</si>
  <si>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</si>
  <si>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</si>
  <si>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</si>
  <si>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</si>
  <si>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</si>
  <si>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</si>
  <si>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</si>
  <si>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</si>
  <si>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</si>
  <si>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</si>
  <si>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</si>
  <si>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</si>
  <si>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</si>
  <si>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</si>
  <si>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</si>
  <si>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</si>
  <si>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</si>
  <si>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</si>
  <si>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</si>
  <si>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</si>
  <si>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</si>
  <si>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</si>
  <si>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</si>
  <si>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</si>
  <si>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</si>
  <si>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</si>
  <si>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</si>
  <si>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</si>
  <si>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</si>
  <si>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</si>
  <si>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</si>
  <si>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</si>
  <si>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</si>
  <si>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</si>
  <si>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</si>
  <si>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</si>
  <si>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</si>
  <si>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</si>
  <si>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</si>
  <si>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</si>
  <si>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</si>
  <si>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</si>
  <si>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</si>
  <si>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</si>
  <si>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</si>
  <si>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</si>
  <si>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</si>
  <si>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</si>
  <si>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</si>
  <si>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</si>
  <si>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</si>
  <si>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</si>
  <si>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</si>
  <si>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</si>
  <si>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</si>
  <si>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</si>
  <si>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</si>
  <si>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</si>
  <si>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</si>
  <si>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</si>
  <si>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</si>
  <si>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</si>
  <si>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</si>
  <si>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</si>
  <si>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</si>
  <si>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</si>
  <si>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</si>
  <si>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</si>
  <si>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</si>
  <si>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</si>
  <si>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</si>
  <si>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</si>
  <si>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</si>
  <si>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</si>
  <si>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</si>
  <si>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</si>
  <si>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</si>
  <si>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</si>
  <si>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</si>
  <si>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</si>
  <si>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</si>
  <si>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</si>
  <si>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</si>
  <si>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</si>
  <si>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</si>
  <si>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</si>
  <si>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</si>
  <si>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</si>
  <si>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</si>
  <si>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</si>
  <si>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</si>
  <si>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</si>
  <si>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</si>
  <si>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</si>
  <si>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</si>
  <si>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</si>
  <si>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</si>
  <si>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</si>
  <si>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</si>
  <si>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</si>
  <si>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</si>
  <si>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</si>
  <si>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</si>
  <si>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</si>
  <si>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</si>
  <si>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</si>
  <si>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</si>
  <si>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</si>
  <si>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</si>
  <si>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</si>
  <si>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</si>
  <si>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</si>
  <si>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</si>
  <si>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</si>
  <si>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</si>
  <si>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</si>
  <si>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</si>
  <si>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</si>
  <si>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</si>
  <si>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</si>
  <si>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</si>
  <si>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</si>
  <si>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</si>
  <si>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</si>
  <si>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</si>
  <si>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</si>
  <si>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</si>
  <si>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</si>
  <si>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</si>
  <si>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</si>
  <si>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</si>
  <si>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</si>
  <si>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</si>
  <si>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</si>
  <si>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</si>
  <si>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</si>
  <si>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</si>
  <si>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</si>
  <si>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</si>
  <si>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</si>
  <si>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</si>
  <si>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</si>
  <si>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</si>
  <si>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</si>
  <si>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</si>
  <si>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</si>
  <si>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</si>
  <si>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</si>
  <si>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</si>
  <si>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</si>
  <si>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</si>
  <si>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</si>
  <si>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</si>
  <si>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</si>
  <si>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</si>
  <si>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</si>
  <si>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</si>
  <si>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</si>
  <si>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</si>
  <si>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</si>
  <si>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</si>
  <si>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</si>
  <si>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</si>
  <si>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</si>
  <si>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</si>
  <si>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</si>
  <si>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</si>
  <si>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</si>
  <si>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</si>
  <si>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</si>
  <si>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</si>
  <si>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</si>
  <si>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</si>
  <si>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</si>
  <si>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</si>
  <si>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</si>
  <si>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</si>
  <si>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</si>
  <si>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</si>
  <si>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</si>
  <si>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</si>
  <si>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</si>
  <si>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</si>
  <si>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</si>
  <si>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</si>
  <si>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</si>
  <si>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</si>
  <si>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</si>
  <si>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</si>
  <si>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</si>
  <si>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</si>
  <si>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</si>
  <si>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</si>
  <si>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</si>
  <si>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</si>
  <si>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</si>
  <si>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</si>
  <si>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</si>
  <si>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</si>
  <si>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</si>
  <si>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</si>
  <si>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</si>
  <si>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</si>
  <si>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</si>
  <si>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</si>
  <si>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</si>
  <si>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</si>
  <si>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</si>
  <si>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</si>
  <si>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</si>
  <si>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</si>
  <si>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</si>
  <si>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</si>
  <si>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</si>
  <si>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</si>
  <si>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</si>
  <si>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</si>
  <si>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</si>
  <si>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</si>
  <si>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</si>
  <si>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</si>
  <si>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</si>
  <si>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</si>
  <si>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</si>
  <si>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</si>
  <si>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</si>
  <si>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</si>
  <si>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</si>
  <si>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</si>
  <si>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</si>
  <si>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</si>
  <si>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</si>
  <si>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</si>
  <si>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</si>
  <si>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</si>
  <si>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</si>
  <si>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</si>
  <si>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</si>
  <si>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</si>
  <si>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</si>
  <si>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</si>
  <si>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</si>
  <si>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</si>
  <si>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</si>
  <si>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</si>
  <si>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</si>
  <si>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</si>
  <si>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</si>
  <si>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</si>
  <si>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</si>
  <si>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</si>
  <si>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</si>
  <si>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</si>
  <si>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</si>
  <si>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</si>
  <si>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</si>
  <si>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</si>
  <si>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</si>
  <si>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</si>
  <si>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</si>
  <si>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</si>
  <si>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</si>
  <si>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</si>
  <si>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</si>
  <si>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</si>
  <si>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</si>
  <si>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</si>
  <si>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</si>
  <si>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</si>
  <si>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</si>
  <si>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</si>
  <si>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</si>
  <si>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</si>
  <si>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</si>
  <si>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</si>
  <si>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</si>
  <si>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</si>
  <si>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</si>
  <si>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</si>
  <si>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</si>
  <si>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</si>
  <si>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</si>
  <si>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</si>
  <si>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</si>
  <si>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</si>
  <si>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</si>
  <si>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</si>
  <si>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</si>
  <si>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</si>
  <si>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</si>
  <si>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</si>
  <si>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</si>
  <si>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</si>
  <si>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</si>
  <si>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</si>
  <si>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</si>
  <si>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</si>
  <si>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</si>
  <si>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</si>
  <si>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</si>
  <si>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</si>
  <si>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</si>
  <si>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</si>
  <si>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</si>
  <si>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</si>
  <si>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</si>
  <si>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</si>
  <si>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</si>
  <si>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</si>
  <si>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</si>
  <si>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</si>
  <si>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</si>
  <si>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</si>
  <si>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</si>
  <si>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</si>
  <si>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</si>
  <si>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</si>
  <si>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</si>
  <si>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</si>
  <si>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</si>
  <si>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</si>
  <si>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</si>
  <si>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</si>
  <si>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</si>
  <si>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</si>
  <si>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</si>
  <si>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</si>
  <si>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</si>
  <si>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</si>
  <si>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</si>
  <si>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</si>
  <si>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</si>
  <si>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</si>
  <si>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</si>
  <si>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</si>
  <si>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</si>
  <si>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</si>
  <si>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</si>
  <si>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</si>
  <si>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</si>
  <si>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</si>
  <si>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</si>
  <si>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</si>
  <si>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</si>
  <si>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</si>
  <si>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</si>
  <si>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</si>
  <si>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</si>
  <si>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</si>
  <si>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</si>
  <si>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</si>
  <si>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</si>
  <si>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</si>
  <si>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</si>
  <si>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</si>
  <si>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</si>
  <si>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</si>
  <si>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</si>
  <si>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</si>
  <si>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</si>
  <si>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</si>
  <si>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</si>
  <si>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</si>
  <si>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</si>
  <si>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</si>
  <si>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</si>
  <si>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</si>
  <si>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</si>
  <si>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</si>
  <si>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</si>
  <si>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</si>
  <si>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</si>
  <si>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</si>
  <si>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</si>
  <si>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</si>
  <si>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</si>
  <si>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</si>
  <si>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</si>
  <si>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</si>
  <si>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</si>
  <si>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</si>
  <si>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</si>
  <si>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</si>
  <si>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</si>
  <si>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</si>
  <si>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</si>
  <si>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</si>
  <si>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</si>
  <si>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</si>
  <si>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</si>
  <si>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</si>
  <si>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</si>
  <si>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</si>
  <si>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</si>
  <si>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</si>
  <si>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</si>
  <si>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</si>
  <si>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</si>
  <si>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</si>
  <si>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</si>
  <si>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</si>
  <si>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</si>
  <si>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</si>
  <si>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</si>
  <si>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</si>
  <si>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</si>
  <si>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</si>
  <si>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</si>
  <si>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</si>
  <si>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</si>
  <si>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</si>
  <si>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</si>
  <si>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</si>
  <si>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</si>
  <si>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</si>
  <si>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</si>
  <si>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</si>
  <si>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</si>
  <si>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</si>
  <si>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</si>
  <si>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</si>
  <si>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</si>
  <si>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</si>
  <si>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</si>
  <si>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</si>
  <si>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</si>
  <si>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</si>
  <si>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</si>
  <si>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</si>
  <si>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</si>
  <si>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</si>
  <si>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</si>
  <si>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</si>
  <si>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</si>
  <si>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</si>
  <si>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</si>
  <si>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</si>
  <si>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</si>
  <si>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</si>
  <si>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</si>
  <si>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</si>
  <si>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</si>
  <si>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</si>
  <si>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</si>
  <si>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</si>
  <si>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</si>
  <si>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</si>
  <si>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</si>
  <si>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</si>
  <si>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</si>
  <si>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</si>
  <si>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</si>
  <si>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</si>
  <si>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</si>
  <si>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</si>
  <si>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</si>
  <si>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</si>
  <si>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</si>
  <si>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</si>
  <si>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</si>
  <si>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</si>
  <si>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</si>
  <si>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</si>
  <si>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</si>
  <si>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</si>
  <si>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</si>
  <si>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</si>
  <si>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</si>
  <si>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</si>
  <si>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</si>
  <si>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</si>
  <si>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</si>
  <si>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</si>
  <si>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</si>
  <si>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</si>
  <si>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</si>
  <si>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</si>
  <si>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</si>
  <si>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</si>
  <si>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</si>
  <si>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</si>
  <si>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</si>
  <si>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</si>
  <si>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</si>
  <si>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</si>
  <si>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</si>
  <si>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</si>
  <si>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</si>
  <si>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</si>
  <si>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</si>
  <si>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</si>
  <si>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</si>
  <si>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</si>
  <si>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</si>
  <si>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</si>
  <si>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</si>
  <si>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</si>
  <si>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</si>
  <si>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</si>
  <si>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</si>
  <si>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</si>
  <si>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</si>
  <si>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</si>
  <si>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</si>
  <si>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</si>
  <si>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</si>
  <si>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</si>
  <si>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</si>
  <si>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</si>
  <si>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</si>
  <si>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</si>
  <si>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</si>
  <si>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</si>
  <si>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</si>
  <si>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</si>
  <si>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</si>
  <si>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</si>
  <si>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</si>
  <si>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</si>
  <si>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</si>
  <si>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</si>
  <si>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</si>
  <si>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</si>
  <si>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</si>
  <si>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</si>
  <si>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</si>
  <si>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</si>
  <si>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</si>
  <si>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</si>
  <si>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</si>
  <si>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</si>
  <si>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</si>
  <si>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</si>
  <si>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</si>
  <si>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</si>
  <si>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</si>
  <si>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</si>
  <si>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</si>
  <si>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</si>
  <si>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</si>
  <si>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</si>
  <si>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</si>
  <si>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</si>
  <si>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</si>
  <si>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</si>
  <si>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</si>
  <si>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</si>
  <si>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</si>
  <si>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</si>
  <si>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</si>
  <si>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</si>
  <si>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</si>
  <si>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</si>
  <si>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</si>
  <si>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</si>
  <si>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</si>
  <si>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</si>
  <si>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</si>
  <si>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</si>
  <si>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</si>
  <si>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</si>
  <si>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</si>
  <si>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</si>
  <si>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</si>
  <si>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</si>
  <si>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</si>
  <si>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</si>
  <si>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</si>
  <si>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</si>
  <si>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</si>
  <si>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</si>
  <si>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</si>
  <si>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</si>
  <si>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</si>
  <si>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</si>
  <si>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</si>
  <si>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</si>
  <si>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</si>
  <si>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</si>
  <si>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</si>
  <si>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</si>
  <si>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</si>
  <si>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</si>
  <si>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</si>
  <si>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</si>
  <si>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</si>
  <si>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</si>
  <si>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</si>
  <si>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</si>
  <si>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</si>
  <si>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</si>
  <si>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</si>
  <si>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</si>
  <si>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</si>
  <si>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</si>
  <si>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</si>
  <si>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</si>
  <si>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</si>
  <si>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</si>
  <si>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</si>
  <si>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</si>
  <si>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</si>
  <si>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</si>
  <si>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</si>
  <si>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</si>
  <si>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</si>
  <si>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</si>
  <si>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</si>
  <si>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</si>
  <si>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</si>
  <si>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</si>
  <si>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</si>
  <si>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</si>
  <si>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</si>
  <si>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</si>
  <si>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</si>
  <si>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</si>
  <si>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</si>
  <si>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</si>
  <si>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</si>
  <si>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</si>
  <si>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</si>
  <si>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</si>
  <si>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</si>
  <si>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</si>
  <si>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</si>
  <si>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</si>
  <si>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</si>
  <si>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</si>
  <si>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</si>
  <si>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</si>
  <si>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</si>
  <si>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</si>
  <si>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</si>
  <si>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</si>
  <si>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</si>
  <si>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</si>
  <si>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</si>
  <si>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</si>
  <si>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</si>
  <si>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</si>
  <si>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</si>
  <si>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</si>
  <si>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</si>
  <si>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</si>
  <si>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</si>
  <si>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</si>
  <si>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</si>
  <si>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</si>
  <si>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</si>
  <si>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</si>
  <si>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</si>
  <si>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</si>
  <si>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</si>
  <si>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</si>
  <si>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</si>
  <si>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</si>
  <si>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</si>
  <si>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</si>
  <si>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</si>
  <si>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</si>
  <si>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</si>
  <si>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</si>
  <si>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</si>
  <si>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</si>
  <si>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</si>
  <si>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</si>
  <si>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</si>
  <si>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</si>
  <si>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</si>
  <si>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</si>
  <si>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</si>
  <si>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</si>
  <si>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</si>
  <si>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</si>
  <si>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</si>
  <si>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</si>
  <si>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</si>
  <si>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</si>
  <si>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</si>
  <si>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</si>
  <si>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</si>
  <si>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</si>
  <si>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</si>
  <si>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</si>
  <si>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</si>
  <si>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</si>
  <si>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</si>
  <si>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</si>
  <si>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</si>
  <si>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</si>
  <si>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</si>
  <si>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</si>
  <si>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</si>
  <si>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</si>
  <si>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</si>
  <si>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</si>
  <si>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</si>
  <si>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</si>
  <si>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</si>
  <si>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</si>
  <si>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</si>
  <si>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</si>
  <si>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</si>
  <si>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</si>
  <si>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</si>
  <si>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</si>
  <si>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</si>
  <si>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</si>
  <si>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</si>
  <si>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</si>
  <si>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</si>
  <si>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</si>
  <si>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</si>
  <si>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</si>
  <si>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</si>
  <si>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</si>
  <si>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</si>
  <si>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</si>
  <si>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</si>
  <si>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</si>
  <si>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</si>
  <si>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</si>
  <si>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</si>
  <si>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</si>
  <si>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</si>
  <si>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</si>
  <si>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</si>
  <si>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</si>
  <si>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</si>
  <si>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</si>
  <si>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</si>
  <si>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</si>
  <si>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</si>
  <si>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</si>
  <si>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</si>
  <si>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</si>
  <si>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</si>
  <si>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</si>
  <si>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</si>
  <si>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</si>
  <si>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</si>
  <si>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</si>
  <si>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</si>
  <si>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</si>
  <si>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</si>
  <si>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</si>
  <si>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</si>
  <si>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</si>
  <si>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</si>
  <si>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</si>
  <si>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</si>
  <si>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</si>
  <si>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</si>
  <si>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</si>
  <si>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</si>
  <si>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</si>
  <si>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</si>
  <si>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</si>
  <si>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</si>
  <si>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</si>
  <si>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</si>
  <si>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</si>
  <si>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</si>
  <si>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</si>
  <si>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</si>
  <si>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</si>
  <si>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</si>
  <si>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</si>
  <si>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</si>
  <si>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</si>
  <si>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</si>
  <si>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</si>
  <si>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</si>
  <si>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</si>
  <si>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</si>
  <si>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</si>
  <si>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</si>
  <si>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</si>
  <si>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</si>
  <si>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</si>
  <si>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</si>
  <si>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</si>
  <si>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</si>
  <si>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</si>
  <si>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</si>
  <si>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</si>
  <si>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</si>
  <si>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</si>
  <si>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</si>
  <si>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</si>
  <si>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</si>
  <si>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</si>
  <si>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</si>
  <si>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</si>
  <si>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</si>
  <si>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</si>
  <si>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</si>
  <si>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</si>
  <si>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</si>
  <si>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</si>
  <si>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</si>
  <si>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</si>
  <si>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</si>
  <si>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</si>
  <si>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</si>
  <si>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</si>
  <si>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</si>
  <si>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</si>
  <si>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</si>
  <si>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</si>
  <si>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</si>
  <si>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</si>
  <si>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</si>
  <si>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</si>
  <si>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</si>
  <si>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</si>
  <si>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</si>
  <si>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</si>
  <si>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</si>
  <si>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</si>
  <si>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</si>
  <si>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</si>
  <si>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</si>
  <si>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</si>
  <si>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</si>
  <si>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</si>
  <si>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</si>
  <si>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</si>
  <si>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</si>
  <si>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</si>
  <si>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</si>
  <si>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</si>
  <si>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</si>
  <si>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</si>
  <si>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</si>
  <si>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</si>
  <si>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</si>
  <si>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</si>
  <si>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</si>
  <si>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</si>
  <si>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</si>
  <si>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</si>
  <si>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</si>
  <si>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</si>
  <si>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of Sales</t>
  </si>
  <si>
    <t>Serial no</t>
  </si>
  <si>
    <t>Count of Serial no</t>
  </si>
  <si>
    <t>Average of Rating</t>
  </si>
  <si>
    <t>Row Labels</t>
  </si>
  <si>
    <t xml:space="preserve">                                TOTAL SALES  BY FAT CONTENT</t>
  </si>
  <si>
    <t>Column Labels</t>
  </si>
  <si>
    <t>TOTAL SALES BY ITEM TYPE</t>
  </si>
  <si>
    <t>TOTAL SALES BY OUTLETS ESTABLISHMENTS</t>
  </si>
  <si>
    <t>SALES BY OUTLET SIZE</t>
  </si>
  <si>
    <t>OUTLET LOCATION</t>
  </si>
  <si>
    <t>SALES</t>
  </si>
  <si>
    <t>SALES BY OUTLET LOCATION</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</si>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</sst>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family val="2"/>
      <scheme val="minor"/>
    </font>
    <font>
      <sz val="12"/>
      <name val="Calibri"/>
      <family val="2"/>
      <scheme val="minor"/>
    </font>
    <font>
      <sz val="18"/>
      <name val="Arial Black"/>
      <family val="2"/>
    </font>
    <font>
      <sz val="12"/>
      <color theme="1"/>
      <name val="Amasis MT Pro Black"/>
      <family val="1"/>
    </font>
    <font>
      <sz val="19"/>
      <name val="Amasis MT Pro Black"/>
      <family val="1"/>
    </font>
    <font>
      <sz val="18"/>
      <color theme="1"/>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0" xfId="0" applyNumberFormat="1"/>
    <xf numFmtId="166" fontId="0" fillId="0" borderId="15" xfId="0" applyNumberFormat="1" applyBorder="1"/>
    <xf numFmtId="0" fontId="0" fillId="0" borderId="16" xfId="0" applyBorder="1"/>
    <xf numFmtId="0" fontId="0" fillId="0" borderId="17" xfId="0" applyBorder="1"/>
    <xf numFmtId="0" fontId="0" fillId="0" borderId="18" xfId="0" applyBorder="1"/>
    <xf numFmtId="164" fontId="0" fillId="0" borderId="14" xfId="0" applyNumberFormat="1" applyBorder="1"/>
    <xf numFmtId="0" fontId="18" fillId="0" borderId="0" xfId="0" applyFont="1"/>
    <xf numFmtId="166" fontId="0" fillId="0" borderId="18" xfId="0" applyNumberFormat="1" applyBorder="1"/>
    <xf numFmtId="0" fontId="0" fillId="0" borderId="19" xfId="0" applyBorder="1"/>
    <xf numFmtId="0" fontId="0" fillId="0" borderId="20" xfId="0" applyBorder="1"/>
    <xf numFmtId="166" fontId="0" fillId="0" borderId="21" xfId="0" applyNumberFormat="1" applyBorder="1"/>
    <xf numFmtId="0" fontId="0" fillId="0" borderId="21" xfId="0" applyBorder="1"/>
    <xf numFmtId="0" fontId="0" fillId="0" borderId="14" xfId="0" applyBorder="1" applyAlignment="1">
      <alignment horizontal="left"/>
    </xf>
    <xf numFmtId="0" fontId="0" fillId="0" borderId="2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4" xfId="0" applyNumberFormat="1" applyBorder="1"/>
    <xf numFmtId="167" fontId="0" fillId="0" borderId="22" xfId="0" applyNumberFormat="1" applyBorder="1"/>
    <xf numFmtId="0" fontId="0" fillId="0" borderId="10" xfId="0" applyBorder="1" applyAlignment="1">
      <alignment horizontal="left"/>
    </xf>
    <xf numFmtId="167" fontId="0" fillId="0" borderId="23" xfId="0" applyNumberFormat="1" applyBorder="1"/>
    <xf numFmtId="167" fontId="0" fillId="0" borderId="0" xfId="0" applyNumberFormat="1"/>
    <xf numFmtId="167" fontId="0" fillId="0" borderId="10" xfId="0" applyNumberFormat="1" applyBorder="1"/>
    <xf numFmtId="168" fontId="0" fillId="0" borderId="22" xfId="0" applyNumberFormat="1" applyBorder="1"/>
    <xf numFmtId="168" fontId="0" fillId="0" borderId="24" xfId="0" applyNumberFormat="1" applyBorder="1"/>
    <xf numFmtId="0" fontId="0" fillId="33" borderId="11" xfId="0" applyFill="1" applyBorder="1"/>
    <xf numFmtId="0" fontId="0" fillId="33" borderId="12" xfId="0" applyFill="1" applyBorder="1"/>
    <xf numFmtId="0" fontId="21" fillId="33" borderId="12" xfId="0" applyFont="1" applyFill="1" applyBorder="1"/>
    <xf numFmtId="0" fontId="0" fillId="33" borderId="13" xfId="0" applyFill="1" applyBorder="1"/>
    <xf numFmtId="0" fontId="21" fillId="33" borderId="14" xfId="0" applyFont="1" applyFill="1" applyBorder="1" applyAlignment="1">
      <alignment horizontal="center"/>
    </xf>
    <xf numFmtId="0" fontId="0" fillId="33" borderId="0" xfId="0" applyFill="1" applyAlignment="1">
      <alignment horizontal="center"/>
    </xf>
    <xf numFmtId="0" fontId="0" fillId="33" borderId="15" xfId="0" applyFill="1" applyBorder="1" applyAlignment="1">
      <alignment horizontal="center"/>
    </xf>
    <xf numFmtId="0" fontId="22" fillId="33" borderId="16" xfId="0" applyFont="1" applyFill="1" applyBorder="1"/>
    <xf numFmtId="0" fontId="0" fillId="33" borderId="17" xfId="0" applyFill="1" applyBorder="1"/>
    <xf numFmtId="0" fontId="0" fillId="33" borderId="18" xfId="0" applyFill="1" applyBorder="1"/>
    <xf numFmtId="0" fontId="23"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20" fillId="33" borderId="14" xfId="0" applyFont="1" applyFill="1" applyBorder="1" applyAlignment="1">
      <alignment horizontal="center"/>
    </xf>
    <xf numFmtId="0" fontId="19" fillId="33" borderId="0" xfId="0" applyFont="1" applyFill="1" applyAlignment="1">
      <alignment horizontal="center"/>
    </xf>
    <xf numFmtId="0" fontId="19" fillId="33" borderId="15" xfId="0" applyFont="1" applyFill="1" applyBorder="1" applyAlignment="1">
      <alignment horizontal="center"/>
    </xf>
    <xf numFmtId="0" fontId="0" fillId="0" borderId="19" xfId="0" applyNumberFormat="1" applyBorder="1"/>
    <xf numFmtId="0" fontId="0" fillId="0" borderId="20" xfId="0" applyNumberFormat="1" applyBorder="1"/>
    <xf numFmtId="167" fontId="0" fillId="0" borderId="15" xfId="0" applyNumberFormat="1" applyBorder="1"/>
    <xf numFmtId="167" fontId="0" fillId="0" borderId="18" xfId="0" applyNumberFormat="1" applyBorder="1"/>
    <xf numFmtId="0" fontId="0" fillId="0" borderId="23" xfId="0" applyBorder="1" applyAlignment="1">
      <alignment horizontal="left"/>
    </xf>
    <xf numFmtId="168"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LIT ANALYSIS" pivot="0" table="0" count="10" xr9:uid="{B1776E4E-C358-4BB4-B4E5-91166600394D}">
      <tableStyleElement type="wholeTable" dxfId="518"/>
      <tableStyleElement type="headerRow" dxfId="517"/>
    </tableStyle>
  </tableStyles>
  <colors>
    <mruColors>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L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149669197615403"/>
          <c:y val="8.453348692356244E-2"/>
          <c:w val="0.38168559423588172"/>
          <c:h val="0.83662506164877271"/>
        </c:manualLayout>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AE-4937-BAD7-9D4AEAB38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AE-4937-BAD7-9D4AEAB38D37}"/>
              </c:ext>
            </c:extLst>
          </c:dPt>
          <c:cat>
            <c:strRef>
              <c:f>'Sheet design'!$A$11:$A$12</c:f>
              <c:strCache>
                <c:ptCount val="2"/>
                <c:pt idx="0">
                  <c:v>Low Fat</c:v>
                </c:pt>
                <c:pt idx="1">
                  <c:v>Regular</c:v>
                </c:pt>
              </c:strCache>
            </c:strRef>
          </c:cat>
          <c:val>
            <c:numRef>
              <c:f>'Sheet design'!$B$11:$B$12</c:f>
              <c:numCache>
                <c:formatCode>"$"0.0,"K"</c:formatCode>
                <c:ptCount val="2"/>
                <c:pt idx="0">
                  <c:v>776319.68840000057</c:v>
                </c:pt>
                <c:pt idx="1">
                  <c:v>425361.8043999995</c:v>
                </c:pt>
              </c:numCache>
            </c:numRef>
          </c:val>
          <c:extLst>
            <c:ext xmlns:c16="http://schemas.microsoft.com/office/drawing/2014/chart" uri="{C3380CC4-5D6E-409C-BE32-E72D297353CC}">
              <c16:uniqueId val="{00000000-EC62-4300-8B3C-990099C857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6298839925884159"/>
          <c:y val="0.26456928632276711"/>
          <c:w val="0.4130322041408202"/>
          <c:h val="0.637303801703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7698599483003"/>
          <c:y val="0.10744806612709329"/>
          <c:w val="0.54364670111323143"/>
          <c:h val="0.78510386774581342"/>
        </c:manualLayout>
      </c:layout>
      <c:barChart>
        <c:barDir val="bar"/>
        <c:grouping val="clustered"/>
        <c:varyColors val="0"/>
        <c:ser>
          <c:idx val="0"/>
          <c:order val="0"/>
          <c:tx>
            <c:strRef>
              <c:f>'Sheet design'!$B$25:$B$26</c:f>
              <c:strCache>
                <c:ptCount val="1"/>
                <c:pt idx="0">
                  <c:v>Low Fat</c:v>
                </c:pt>
              </c:strCache>
            </c:strRef>
          </c:tx>
          <c:spPr>
            <a:solidFill>
              <a:schemeClr val="accent1"/>
            </a:solidFill>
            <a:ln>
              <a:noFill/>
            </a:ln>
            <a:effectLst/>
          </c:spPr>
          <c:invertIfNegative val="0"/>
          <c:cat>
            <c:strRef>
              <c:f>'Sheet design'!$A$27:$A$29</c:f>
              <c:strCache>
                <c:ptCount val="3"/>
                <c:pt idx="0">
                  <c:v>Tier 1</c:v>
                </c:pt>
                <c:pt idx="1">
                  <c:v>Tier 2</c:v>
                </c:pt>
                <c:pt idx="2">
                  <c:v>Tier 3</c:v>
                </c:pt>
              </c:strCache>
            </c:strRef>
          </c:cat>
          <c:val>
            <c:numRef>
              <c:f>'Sheet design'!$B$27:$B$29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8E0-411E-BC6F-57CA631FD354}"/>
            </c:ext>
          </c:extLst>
        </c:ser>
        <c:ser>
          <c:idx val="1"/>
          <c:order val="1"/>
          <c:tx>
            <c:strRef>
              <c:f>'Sheet design'!$C$25:$C$26</c:f>
              <c:strCache>
                <c:ptCount val="1"/>
                <c:pt idx="0">
                  <c:v>Regular</c:v>
                </c:pt>
              </c:strCache>
            </c:strRef>
          </c:tx>
          <c:spPr>
            <a:solidFill>
              <a:schemeClr val="accent2"/>
            </a:solidFill>
            <a:ln>
              <a:noFill/>
            </a:ln>
            <a:effectLst/>
          </c:spPr>
          <c:invertIfNegative val="0"/>
          <c:cat>
            <c:strRef>
              <c:f>'Sheet design'!$A$27:$A$29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2D9-4E73-9D4E-A78A296622E4}"/>
            </c:ext>
          </c:extLst>
        </c:ser>
        <c:dLbls>
          <c:showLegendKey val="0"/>
          <c:showVal val="0"/>
          <c:showCatName val="0"/>
          <c:showSerName val="0"/>
          <c:showPercent val="0"/>
          <c:showBubbleSize val="0"/>
        </c:dLbls>
        <c:gapWidth val="182"/>
        <c:axId val="1254602159"/>
        <c:axId val="1254601199"/>
      </c:barChart>
      <c:catAx>
        <c:axId val="125460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01199"/>
        <c:crosses val="autoZero"/>
        <c:auto val="1"/>
        <c:lblAlgn val="ctr"/>
        <c:lblOffset val="100"/>
        <c:noMultiLvlLbl val="0"/>
      </c:catAx>
      <c:valAx>
        <c:axId val="1254601199"/>
        <c:scaling>
          <c:orientation val="minMax"/>
        </c:scaling>
        <c:delete val="1"/>
        <c:axPos val="b"/>
        <c:numFmt formatCode="&quot;$&quot;0.0,&quot;K&quot;" sourceLinked="1"/>
        <c:majorTickMark val="none"/>
        <c:minorTickMark val="none"/>
        <c:tickLblPos val="nextTo"/>
        <c:crossAx val="1254602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8.5579250510352867E-2"/>
          <c:w val="0.70912642169728779"/>
          <c:h val="0.89814814814814814"/>
        </c:manualLayout>
      </c:layout>
      <c:barChart>
        <c:barDir val="bar"/>
        <c:grouping val="clustered"/>
        <c:varyColors val="0"/>
        <c:ser>
          <c:idx val="0"/>
          <c:order val="0"/>
          <c:tx>
            <c:strRef>
              <c:f>'Sheet design'!$B$41</c:f>
              <c:strCache>
                <c:ptCount val="1"/>
                <c:pt idx="0">
                  <c:v>Total</c:v>
                </c:pt>
              </c:strCache>
            </c:strRef>
          </c:tx>
          <c:spPr>
            <a:solidFill>
              <a:schemeClr val="accent1"/>
            </a:solidFill>
            <a:ln>
              <a:noFill/>
            </a:ln>
            <a:effectLst/>
          </c:spPr>
          <c:invertIfNegative val="0"/>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97C4-4CA3-9AE6-B3417FA206D5}"/>
            </c:ext>
          </c:extLst>
        </c:ser>
        <c:dLbls>
          <c:showLegendKey val="0"/>
          <c:showVal val="0"/>
          <c:showCatName val="0"/>
          <c:showSerName val="0"/>
          <c:showPercent val="0"/>
          <c:showBubbleSize val="0"/>
        </c:dLbls>
        <c:gapWidth val="182"/>
        <c:axId val="1745689983"/>
        <c:axId val="1745687103"/>
      </c:barChart>
      <c:catAx>
        <c:axId val="1745689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7103"/>
        <c:crosses val="autoZero"/>
        <c:auto val="1"/>
        <c:lblAlgn val="ctr"/>
        <c:lblOffset val="100"/>
        <c:noMultiLvlLbl val="0"/>
      </c:catAx>
      <c:valAx>
        <c:axId val="1745687103"/>
        <c:scaling>
          <c:orientation val="minMax"/>
        </c:scaling>
        <c:delete val="1"/>
        <c:axPos val="b"/>
        <c:numFmt formatCode="&quot;$&quot;0.0,&quot;K&quot;" sourceLinked="1"/>
        <c:majorTickMark val="out"/>
        <c:minorTickMark val="none"/>
        <c:tickLblPos val="nextTo"/>
        <c:crossAx val="17456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design'!$B$62</c:f>
              <c:strCache>
                <c:ptCount val="1"/>
                <c:pt idx="0">
                  <c:v>Total</c:v>
                </c:pt>
              </c:strCache>
            </c:strRef>
          </c:tx>
          <c:spPr>
            <a:solidFill>
              <a:schemeClr val="accent1"/>
            </a:solidFill>
            <a:ln>
              <a:noFill/>
            </a:ln>
            <a:effectLst/>
          </c:spPr>
          <c:cat>
            <c:strRef>
              <c:f>'Sheet design'!$A$63:$A$71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39B-40E2-A0E6-8BDCD659340A}"/>
            </c:ext>
          </c:extLst>
        </c:ser>
        <c:dLbls>
          <c:showLegendKey val="0"/>
          <c:showVal val="0"/>
          <c:showCatName val="0"/>
          <c:showSerName val="0"/>
          <c:showPercent val="0"/>
          <c:showBubbleSize val="0"/>
        </c:dLbls>
        <c:axId val="1281025679"/>
        <c:axId val="1281027599"/>
      </c:areaChart>
      <c:catAx>
        <c:axId val="128102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027599"/>
        <c:crosses val="autoZero"/>
        <c:auto val="1"/>
        <c:lblAlgn val="ctr"/>
        <c:lblOffset val="100"/>
        <c:noMultiLvlLbl val="0"/>
      </c:catAx>
      <c:valAx>
        <c:axId val="1281027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025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 design'!$B$77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9A-4AF3-9227-7A34EDC22C33}"/>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design'!$A$78:$A$80</c:f>
              <c:strCache>
                <c:ptCount val="3"/>
                <c:pt idx="0">
                  <c:v>High</c:v>
                </c:pt>
                <c:pt idx="1">
                  <c:v>Medium</c:v>
                </c:pt>
                <c:pt idx="2">
                  <c:v>Small</c:v>
                </c:pt>
              </c:strCache>
            </c:strRef>
          </c:cat>
          <c:val>
            <c:numRef>
              <c:f>'Sheet design'!$B$78:$B$80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342-4446-BA1E-B332799663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BEE-4B0D-87A6-D7B5D3AE6E30}"/>
            </c:ext>
          </c:extLst>
        </c:ser>
        <c:dLbls>
          <c:showLegendKey val="0"/>
          <c:showVal val="0"/>
          <c:showCatName val="0"/>
          <c:showSerName val="0"/>
          <c:showPercent val="0"/>
          <c:showBubbleSize val="0"/>
        </c:dLbls>
        <c:gapWidth val="182"/>
        <c:axId val="710060879"/>
        <c:axId val="710061359"/>
      </c:barChart>
      <c:catAx>
        <c:axId val="71006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61359"/>
        <c:crosses val="autoZero"/>
        <c:auto val="1"/>
        <c:lblAlgn val="ctr"/>
        <c:lblOffset val="100"/>
        <c:noMultiLvlLbl val="0"/>
      </c:catAx>
      <c:valAx>
        <c:axId val="7100613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2921995788419"/>
          <c:y val="0.19304325777529749"/>
          <c:w val="0.64270780042115805"/>
          <c:h val="0.73924231465818679"/>
        </c:manualLayout>
      </c:layout>
      <c:barChart>
        <c:barDir val="bar"/>
        <c:grouping val="clustered"/>
        <c:varyColors val="0"/>
        <c:ser>
          <c:idx val="0"/>
          <c:order val="0"/>
          <c:tx>
            <c:strRef>
              <c:f>'Sheet design'!$B$126</c:f>
              <c:strCache>
                <c:ptCount val="1"/>
                <c:pt idx="0">
                  <c:v>Total</c:v>
                </c:pt>
              </c:strCache>
            </c:strRef>
          </c:tx>
          <c:spPr>
            <a:solidFill>
              <a:schemeClr val="accent1"/>
            </a:solidFill>
            <a:ln>
              <a:noFill/>
            </a:ln>
            <a:effectLst/>
          </c:spPr>
          <c:invertIfNegative val="0"/>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20C-4304-9E8D-55C60FC4EBF4}"/>
            </c:ext>
          </c:extLst>
        </c:ser>
        <c:dLbls>
          <c:showLegendKey val="0"/>
          <c:showVal val="0"/>
          <c:showCatName val="0"/>
          <c:showSerName val="0"/>
          <c:showPercent val="0"/>
          <c:showBubbleSize val="0"/>
        </c:dLbls>
        <c:gapWidth val="182"/>
        <c:axId val="1281551023"/>
        <c:axId val="1120622223"/>
      </c:barChart>
      <c:catAx>
        <c:axId val="128155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22223"/>
        <c:crosses val="autoZero"/>
        <c:auto val="1"/>
        <c:lblAlgn val="ctr"/>
        <c:lblOffset val="100"/>
        <c:noMultiLvlLbl val="0"/>
      </c:catAx>
      <c:valAx>
        <c:axId val="1120622223"/>
        <c:scaling>
          <c:orientation val="minMax"/>
        </c:scaling>
        <c:delete val="1"/>
        <c:axPos val="b"/>
        <c:numFmt formatCode="\$0" sourceLinked="1"/>
        <c:majorTickMark val="none"/>
        <c:minorTickMark val="none"/>
        <c:tickLblPos val="nextTo"/>
        <c:crossAx val="12815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8116167534722211"/>
              <c:y val="7.73918342474101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98611111111109"/>
                  <c:h val="0.27667580743449116"/>
                </c:manualLayout>
              </c15:layout>
            </c:ext>
          </c:extLst>
        </c:dLbl>
      </c:pivotFmt>
      <c:pivotFmt>
        <c:idx val="6"/>
        <c:spPr>
          <a:solidFill>
            <a:schemeClr val="accent6">
              <a:lumMod val="75000"/>
            </a:schemeClr>
          </a:solidFill>
          <a:ln w="19050">
            <a:solidFill>
              <a:schemeClr val="lt1"/>
            </a:solidFill>
          </a:ln>
          <a:effectLst/>
        </c:spPr>
        <c:dLbl>
          <c:idx val="0"/>
          <c:layout>
            <c:manualLayout>
              <c:x val="-9.3706597222222243E-2"/>
              <c:y val="-0.1225370708917326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556163194444446"/>
                  <c:h val="0.26377716839325616"/>
                </c:manualLayout>
              </c15:layout>
            </c:ext>
          </c:extLst>
        </c:dLbl>
      </c:pivotFmt>
      <c:pivotFmt>
        <c:idx val="7"/>
        <c:spPr>
          <a:solidFill>
            <a:schemeClr val="accent6">
              <a:lumMod val="75000"/>
            </a:schemeClr>
          </a:solidFill>
          <a:ln w="19050">
            <a:solidFill>
              <a:schemeClr val="lt1"/>
            </a:solidFill>
          </a:ln>
          <a:effectLst/>
        </c:spPr>
      </c:pivotFmt>
    </c:pivotFmts>
    <c:plotArea>
      <c:layout/>
      <c:doughnutChart>
        <c:varyColors val="1"/>
        <c:ser>
          <c:idx val="0"/>
          <c:order val="0"/>
          <c:tx>
            <c:strRef>
              <c:f>'Sheet design'!$B$10</c:f>
              <c:strCache>
                <c:ptCount val="1"/>
                <c:pt idx="0">
                  <c:v>Total</c:v>
                </c:pt>
              </c:strCache>
            </c:strRef>
          </c:tx>
          <c:spPr>
            <a:solidFill>
              <a:schemeClr val="accent6">
                <a:lumMod val="75000"/>
              </a:schemeClr>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59AE-4737-87A7-F504D77BB5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9AE-4737-87A7-F504D77BB5EA}"/>
              </c:ext>
            </c:extLst>
          </c:dPt>
          <c:dLbls>
            <c:dLbl>
              <c:idx val="0"/>
              <c:layout>
                <c:manualLayout>
                  <c:x val="0.18116167534722211"/>
                  <c:y val="7.7391834247410113E-2"/>
                </c:manualLayout>
              </c:layout>
              <c:showLegendKey val="0"/>
              <c:showVal val="1"/>
              <c:showCatName val="0"/>
              <c:showSerName val="0"/>
              <c:showPercent val="1"/>
              <c:showBubbleSize val="0"/>
              <c:extLst>
                <c:ext xmlns:c15="http://schemas.microsoft.com/office/drawing/2012/chart" uri="{CE6537A1-D6FC-4f65-9D91-7224C49458BB}">
                  <c15:layout>
                    <c:manualLayout>
                      <c:w val="0.26398611111111109"/>
                      <c:h val="0.27667580743449116"/>
                    </c:manualLayout>
                  </c15:layout>
                </c:ext>
                <c:ext xmlns:c16="http://schemas.microsoft.com/office/drawing/2014/chart" uri="{C3380CC4-5D6E-409C-BE32-E72D297353CC}">
                  <c16:uniqueId val="{00000001-59AE-4737-87A7-F504D77BB5EA}"/>
                </c:ext>
              </c:extLst>
            </c:dLbl>
            <c:dLbl>
              <c:idx val="1"/>
              <c:layout>
                <c:manualLayout>
                  <c:x val="-9.3706597222222243E-2"/>
                  <c:y val="-0.1225370708917326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556163194444446"/>
                      <c:h val="0.26377716839325616"/>
                    </c:manualLayout>
                  </c15:layout>
                </c:ext>
                <c:ext xmlns:c16="http://schemas.microsoft.com/office/drawing/2014/chart" uri="{C3380CC4-5D6E-409C-BE32-E72D297353CC}">
                  <c16:uniqueId val="{00000003-59AE-4737-87A7-F504D77BB5E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"$"0.0,"K"</c:formatCode>
                <c:ptCount val="2"/>
                <c:pt idx="0">
                  <c:v>776319.68840000057</c:v>
                </c:pt>
                <c:pt idx="1">
                  <c:v>425361.8043999995</c:v>
                </c:pt>
              </c:numCache>
            </c:numRef>
          </c:val>
          <c:extLst>
            <c:ext xmlns:c16="http://schemas.microsoft.com/office/drawing/2014/chart" uri="{C3380CC4-5D6E-409C-BE32-E72D297353CC}">
              <c16:uniqueId val="{00000004-59AE-4737-87A7-F504D77BB5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45086466481958"/>
                  <c:h val="0.20242332130550444"/>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5411645951422"/>
          <c:y val="0.19436198900922269"/>
          <c:w val="0.61480971245740412"/>
          <c:h val="0.78510386774581342"/>
        </c:manualLayout>
      </c:layout>
      <c:barChart>
        <c:barDir val="bar"/>
        <c:grouping val="clustered"/>
        <c:varyColors val="0"/>
        <c:ser>
          <c:idx val="0"/>
          <c:order val="0"/>
          <c:tx>
            <c:strRef>
              <c:f>'Sheet design'!$B$25:$B$26</c:f>
              <c:strCache>
                <c:ptCount val="1"/>
                <c:pt idx="0">
                  <c:v>Low Fat</c:v>
                </c:pt>
              </c:strCache>
            </c:strRef>
          </c:tx>
          <c:spPr>
            <a:solidFill>
              <a:schemeClr val="accent6">
                <a:lumMod val="50000"/>
              </a:schemeClr>
            </a:solidFill>
            <a:ln>
              <a:noFill/>
            </a:ln>
            <a:effectLst/>
          </c:spPr>
          <c:invertIfNegative val="0"/>
          <c:dPt>
            <c:idx val="2"/>
            <c:invertIfNegative val="0"/>
            <c:bubble3D val="0"/>
          </c:dPt>
          <c:dLbls>
            <c:dLbl>
              <c:idx val="2"/>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45086466481958"/>
                      <c:h val="0.20242332130550444"/>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design'!$B$27:$B$29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B61-40D7-AFCB-1EC89C31DE5D}"/>
            </c:ext>
          </c:extLst>
        </c:ser>
        <c:ser>
          <c:idx val="1"/>
          <c:order val="1"/>
          <c:tx>
            <c:strRef>
              <c:f>'Sheet design'!$C$25:$C$26</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F3C-46CD-A0A3-D14AEA44446D}"/>
            </c:ext>
          </c:extLst>
        </c:ser>
        <c:dLbls>
          <c:showLegendKey val="0"/>
          <c:showVal val="0"/>
          <c:showCatName val="0"/>
          <c:showSerName val="0"/>
          <c:showPercent val="0"/>
          <c:showBubbleSize val="0"/>
        </c:dLbls>
        <c:gapWidth val="182"/>
        <c:axId val="1254602159"/>
        <c:axId val="1254601199"/>
      </c:barChart>
      <c:catAx>
        <c:axId val="125460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254601199"/>
        <c:crosses val="autoZero"/>
        <c:auto val="1"/>
        <c:lblAlgn val="ctr"/>
        <c:lblOffset val="100"/>
        <c:noMultiLvlLbl val="0"/>
      </c:catAx>
      <c:valAx>
        <c:axId val="1254601199"/>
        <c:scaling>
          <c:orientation val="minMax"/>
        </c:scaling>
        <c:delete val="1"/>
        <c:axPos val="b"/>
        <c:numFmt formatCode="&quot;$&quot;0.0,&quot;K&quot;" sourceLinked="1"/>
        <c:majorTickMark val="none"/>
        <c:minorTickMark val="none"/>
        <c:tickLblPos val="nextTo"/>
        <c:crossAx val="1254602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35785009344806"/>
          <c:y val="3.5061503526042384E-2"/>
          <c:w val="0.63964197784160859"/>
          <c:h val="0.94120750195641822"/>
        </c:manualLayout>
      </c:layout>
      <c:barChart>
        <c:barDir val="bar"/>
        <c:grouping val="clustered"/>
        <c:varyColors val="0"/>
        <c:ser>
          <c:idx val="0"/>
          <c:order val="0"/>
          <c:tx>
            <c:strRef>
              <c:f>'Sheet design'!$B$41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E75-4A14-9FD4-180F61C04843}"/>
            </c:ext>
          </c:extLst>
        </c:ser>
        <c:dLbls>
          <c:dLblPos val="outEnd"/>
          <c:showLegendKey val="0"/>
          <c:showVal val="1"/>
          <c:showCatName val="0"/>
          <c:showSerName val="0"/>
          <c:showPercent val="0"/>
          <c:showBubbleSize val="0"/>
        </c:dLbls>
        <c:gapWidth val="182"/>
        <c:axId val="1745689983"/>
        <c:axId val="1745687103"/>
      </c:barChart>
      <c:catAx>
        <c:axId val="1745689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745687103"/>
        <c:crosses val="autoZero"/>
        <c:auto val="1"/>
        <c:lblAlgn val="ctr"/>
        <c:lblOffset val="100"/>
        <c:noMultiLvlLbl val="0"/>
      </c:catAx>
      <c:valAx>
        <c:axId val="1745687103"/>
        <c:scaling>
          <c:orientation val="minMax"/>
        </c:scaling>
        <c:delete val="1"/>
        <c:axPos val="b"/>
        <c:numFmt formatCode="&quot;$&quot;0.0,&quot;K&quot;" sourceLinked="1"/>
        <c:majorTickMark val="out"/>
        <c:minorTickMark val="none"/>
        <c:tickLblPos val="nextTo"/>
        <c:crossAx val="17456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w="25400">
            <a:solidFill>
              <a:schemeClr val="tx1"/>
            </a:solidFill>
          </a:ln>
          <a:effectLst/>
        </c:spPr>
        <c:dLbl>
          <c:idx val="0"/>
          <c:layout>
            <c:manualLayout>
              <c:x val="-6.9521398996811685E-3"/>
              <c:y val="-0.40825030538408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w="25400">
            <a:solidFill>
              <a:schemeClr val="tx1"/>
            </a:solidFill>
          </a:ln>
          <a:effectLst/>
        </c:spPr>
        <c:dLbl>
          <c:idx val="0"/>
          <c:layout>
            <c:manualLayout>
              <c:x val="0"/>
              <c:y val="-0.310500232263953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w="25400">
            <a:solidFill>
              <a:schemeClr val="tx1"/>
            </a:solidFill>
          </a:ln>
          <a:effectLst/>
        </c:spPr>
        <c:dLbl>
          <c:idx val="0"/>
          <c:layout>
            <c:manualLayout>
              <c:x val="-2.3173799665603895E-3"/>
              <c:y val="-0.448500335492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w="25400">
            <a:solidFill>
              <a:schemeClr val="tx1"/>
            </a:solidFill>
          </a:ln>
          <a:effectLst/>
        </c:spPr>
        <c:dLbl>
          <c:idx val="0"/>
          <c:layout>
            <c:manualLayout>
              <c:x val="-1.6993923439522469E-16"/>
              <c:y val="-0.29900022366158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w="25400">
            <a:solidFill>
              <a:schemeClr val="tx1"/>
            </a:solidFill>
          </a:ln>
          <a:effectLst/>
        </c:spPr>
        <c:dLbl>
          <c:idx val="0"/>
          <c:layout>
            <c:manualLayout>
              <c:x val="-1.6221659765922727E-2"/>
              <c:y val="-0.43125032258882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25400">
            <a:solidFill>
              <a:schemeClr val="tx1"/>
            </a:solidFill>
          </a:ln>
          <a:effectLst/>
        </c:spPr>
        <c:dLbl>
          <c:idx val="0"/>
          <c:layout>
            <c:manualLayout>
              <c:x val="3.0125939565285063E-2"/>
              <c:y val="-0.39100029248053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design'!$B$62</c:f>
              <c:strCache>
                <c:ptCount val="1"/>
                <c:pt idx="0">
                  <c:v>Total</c:v>
                </c:pt>
              </c:strCache>
            </c:strRef>
          </c:tx>
          <c:spPr>
            <a:solidFill>
              <a:srgbClr val="D0AC2C"/>
            </a:solidFill>
            <a:ln w="25400">
              <a:solidFill>
                <a:schemeClr val="tx1"/>
              </a:solidFill>
            </a:ln>
            <a:effectLst/>
          </c:spPr>
          <c:dPt>
            <c:idx val="0"/>
            <c:bubble3D val="0"/>
            <c:extLst>
              <c:ext xmlns:c16="http://schemas.microsoft.com/office/drawing/2014/chart" uri="{C3380CC4-5D6E-409C-BE32-E72D297353CC}">
                <c16:uniqueId val="{00000006-64D7-4CBD-AEBD-85352EB6945C}"/>
              </c:ext>
            </c:extLst>
          </c:dPt>
          <c:dPt>
            <c:idx val="2"/>
            <c:bubble3D val="0"/>
            <c:extLst>
              <c:ext xmlns:c16="http://schemas.microsoft.com/office/drawing/2014/chart" uri="{C3380CC4-5D6E-409C-BE32-E72D297353CC}">
                <c16:uniqueId val="{00000001-7088-4772-8EF9-F4629662BBD3}"/>
              </c:ext>
            </c:extLst>
          </c:dPt>
          <c:dPt>
            <c:idx val="3"/>
            <c:bubble3D val="0"/>
          </c:dPt>
          <c:dPt>
            <c:idx val="6"/>
            <c:bubble3D val="0"/>
          </c:dPt>
          <c:dPt>
            <c:idx val="7"/>
            <c:bubble3D val="0"/>
          </c:dPt>
          <c:dLbls>
            <c:dLbl>
              <c:idx val="0"/>
              <c:layout>
                <c:manualLayout>
                  <c:x val="3.0125939565285063E-2"/>
                  <c:y val="-0.39100029248053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D7-4CBD-AEBD-85352EB6945C}"/>
                </c:ext>
              </c:extLst>
            </c:dLbl>
            <c:dLbl>
              <c:idx val="1"/>
              <c:layout>
                <c:manualLayout>
                  <c:x val="-6.9521398996811685E-3"/>
                  <c:y val="-0.40825030538408669"/>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0"/>
                  <c:y val="-0.31050023226395329"/>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3173799665603895E-3"/>
                  <c:y val="-0.448500335492377"/>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6993923439522469E-16"/>
                  <c:y val="-0.29900022366158469"/>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6221659765922727E-2"/>
                  <c:y val="-0.4312503225888240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4D7-4CBD-AEBD-85352EB6945C}"/>
            </c:ext>
          </c:extLst>
        </c:ser>
        <c:dLbls>
          <c:showLegendKey val="0"/>
          <c:showVal val="0"/>
          <c:showCatName val="0"/>
          <c:showSerName val="0"/>
          <c:showPercent val="0"/>
          <c:showBubbleSize val="0"/>
        </c:dLbls>
        <c:axId val="1281025679"/>
        <c:axId val="1281027599"/>
      </c:areaChart>
      <c:catAx>
        <c:axId val="128102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281027599"/>
        <c:crosses val="autoZero"/>
        <c:auto val="1"/>
        <c:lblAlgn val="ctr"/>
        <c:lblOffset val="100"/>
        <c:noMultiLvlLbl val="0"/>
      </c:catAx>
      <c:valAx>
        <c:axId val="1281027599"/>
        <c:scaling>
          <c:orientation val="minMax"/>
        </c:scaling>
        <c:delete val="1"/>
        <c:axPos val="l"/>
        <c:numFmt formatCode="&quot;$&quot;0.0,&quot;K&quot;" sourceLinked="1"/>
        <c:majorTickMark val="none"/>
        <c:minorTickMark val="none"/>
        <c:tickLblPos val="nextTo"/>
        <c:crossAx val="1281025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2913981079266465"/>
              <c:y val="-7.503701629189517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9.3267641128035622E-2"/>
              <c:y val="0.1150567583142390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6.8157122362795308E-2"/>
              <c:y val="-0.1500740325837903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s>
    <c:plotArea>
      <c:layout/>
      <c:doughnutChart>
        <c:varyColors val="1"/>
        <c:ser>
          <c:idx val="0"/>
          <c:order val="0"/>
          <c:tx>
            <c:strRef>
              <c:f>'Sheet design'!$B$77</c:f>
              <c:strCache>
                <c:ptCount val="1"/>
                <c:pt idx="0">
                  <c:v>Total</c:v>
                </c:pt>
              </c:strCache>
            </c:strRef>
          </c:tx>
          <c:spPr>
            <a:solidFill>
              <a:schemeClr val="accent4"/>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8AFB-4DE7-80B6-775CC8C3C82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AFB-4DE7-80B6-775CC8C3C82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AFB-4DE7-80B6-775CC8C3C82C}"/>
              </c:ext>
            </c:extLst>
          </c:dPt>
          <c:dLbls>
            <c:dLbl>
              <c:idx val="0"/>
              <c:layout>
                <c:manualLayout>
                  <c:x val="0.12913981079266465"/>
                  <c:y val="-7.5037016291895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FB-4DE7-80B6-775CC8C3C82C}"/>
                </c:ext>
              </c:extLst>
            </c:dLbl>
            <c:dLbl>
              <c:idx val="1"/>
              <c:layout>
                <c:manualLayout>
                  <c:x val="9.3267641128035622E-2"/>
                  <c:y val="0.115056758314239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FB-4DE7-80B6-775CC8C3C82C}"/>
                </c:ext>
              </c:extLst>
            </c:dLbl>
            <c:dLbl>
              <c:idx val="2"/>
              <c:layout>
                <c:manualLayout>
                  <c:x val="-6.8157122362795308E-2"/>
                  <c:y val="-0.150074032583790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FB-4DE7-80B6-775CC8C3C82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design'!$A$78:$A$80</c:f>
              <c:strCache>
                <c:ptCount val="3"/>
                <c:pt idx="0">
                  <c:v>High</c:v>
                </c:pt>
                <c:pt idx="1">
                  <c:v>Medium</c:v>
                </c:pt>
                <c:pt idx="2">
                  <c:v>Small</c:v>
                </c:pt>
              </c:strCache>
            </c:strRef>
          </c:cat>
          <c:val>
            <c:numRef>
              <c:f>'Sheet design'!$B$78:$B$80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AFB-4DE7-80B6-775CC8C3C8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4D3-4905-9D1F-CDCE12A1A035}"/>
            </c:ext>
          </c:extLst>
        </c:ser>
        <c:dLbls>
          <c:showLegendKey val="0"/>
          <c:showVal val="0"/>
          <c:showCatName val="0"/>
          <c:showSerName val="0"/>
          <c:showPercent val="0"/>
          <c:showBubbleSize val="0"/>
        </c:dLbls>
        <c:gapWidth val="182"/>
        <c:axId val="710060879"/>
        <c:axId val="710061359"/>
      </c:barChart>
      <c:catAx>
        <c:axId val="71006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710061359"/>
        <c:crosses val="autoZero"/>
        <c:auto val="1"/>
        <c:lblAlgn val="ctr"/>
        <c:lblOffset val="100"/>
        <c:noMultiLvlLbl val="0"/>
      </c:catAx>
      <c:valAx>
        <c:axId val="71006135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7100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29232597491511"/>
          <c:y val="0.1403765697812881"/>
          <c:w val="0.64270767402508489"/>
          <c:h val="0.73924231465818679"/>
        </c:manualLayout>
      </c:layout>
      <c:barChart>
        <c:barDir val="bar"/>
        <c:grouping val="clustered"/>
        <c:varyColors val="0"/>
        <c:ser>
          <c:idx val="0"/>
          <c:order val="0"/>
          <c:tx>
            <c:strRef>
              <c:f>'Sheet design'!$B$126</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EAA-48B4-9DA2-426836A4058D}"/>
            </c:ext>
          </c:extLst>
        </c:ser>
        <c:dLbls>
          <c:dLblPos val="outEnd"/>
          <c:showLegendKey val="0"/>
          <c:showVal val="1"/>
          <c:showCatName val="0"/>
          <c:showSerName val="0"/>
          <c:showPercent val="0"/>
          <c:showBubbleSize val="0"/>
        </c:dLbls>
        <c:gapWidth val="182"/>
        <c:axId val="1281551023"/>
        <c:axId val="1120622223"/>
      </c:barChart>
      <c:catAx>
        <c:axId val="128155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120622223"/>
        <c:crosses val="autoZero"/>
        <c:auto val="1"/>
        <c:lblAlgn val="ctr"/>
        <c:lblOffset val="100"/>
        <c:noMultiLvlLbl val="0"/>
      </c:catAx>
      <c:valAx>
        <c:axId val="1120622223"/>
        <c:scaling>
          <c:orientation val="minMax"/>
        </c:scaling>
        <c:delete val="1"/>
        <c:axPos val="b"/>
        <c:numFmt formatCode="\$0" sourceLinked="1"/>
        <c:majorTickMark val="none"/>
        <c:minorTickMark val="none"/>
        <c:tickLblPos val="nextTo"/>
        <c:crossAx val="12815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title pos="t" align="ctr" overlay="0"/>
    <cx:plotArea>
      <cx:plotAreaRegion>
        <cx:series layoutId="funnel" uniqueId="{01F4C9EA-CF7D-4027-8655-0942352FBCB3}" formatIdx="0">
          <cx:dataLabels>
            <cx:visibility seriesName="0" categoryName="0" value="1"/>
          </cx:dataLabels>
          <cx:dataId val="0"/>
        </cx:series>
        <cx:series layoutId="funnel" hidden="1" uniqueId="{7C43F4A8-1CC8-455D-AD56-A1D58C5DCB75}" formatIdx="1">
          <cx:dataLabels>
            <cx:visibility seriesName="0" categoryName="0" value="1"/>
          </cx:dataLabels>
          <cx:dataId val="1"/>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data id="1">
      <cx:strDim type="cat">
        <cx:f>_xlchart.v2.3</cx:f>
      </cx:strDim>
      <cx:numDim type="val">
        <cx:f>_xlchart.v2.5</cx:f>
      </cx:numDim>
    </cx:data>
  </cx:chartData>
  <cx:chart>
    <cx:plotArea>
      <cx:plotAreaRegion>
        <cx:series layoutId="funnel" uniqueId="{01F4C9EA-CF7D-4027-8655-0942352FBCB3}" formatIdx="0">
          <cx:spPr>
            <a:solidFill>
              <a:schemeClr val="accent4"/>
            </a:solidFill>
          </cx:spPr>
          <cx:dataPt idx="1">
            <cx:spPr>
              <a:solidFill>
                <a:srgbClr val="FFC000">
                  <a:lumMod val="60000"/>
                  <a:lumOff val="40000"/>
                </a:srgbClr>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1000">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series layoutId="funnel" hidden="1" uniqueId="{7C43F4A8-1CC8-455D-AD56-A1D58C5DCB75}" formatIdx="1">
          <cx:dataLabels>
            <cx:visibility seriesName="0" categoryName="0" value="1"/>
          </cx:dataLabels>
          <cx:dataId val="1"/>
        </cx:series>
      </cx:plotAreaRegion>
      <cx:axis id="0">
        <cx:catScaling gapWidth="0.300000012"/>
        <cx:tickLabels/>
        <cx:txPr>
          <a:bodyPr spcFirstLastPara="1" vertOverflow="ellipsis" horzOverflow="overflow" wrap="square" lIns="0" tIns="0" rIns="0" bIns="0" anchor="ctr" anchorCtr="1"/>
          <a:lstStyle/>
          <a:p>
            <a:pPr algn="ctr" rtl="0">
              <a:defRPr sz="1000">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chart" Target="../charts/chart8.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877264</xdr:colOff>
      <xdr:row>1</xdr:row>
      <xdr:rowOff>75597</xdr:rowOff>
    </xdr:from>
    <xdr:to>
      <xdr:col>8</xdr:col>
      <xdr:colOff>225946</xdr:colOff>
      <xdr:row>8</xdr:row>
      <xdr:rowOff>85122</xdr:rowOff>
    </xdr:to>
    <mc:AlternateContent xmlns:mc="http://schemas.openxmlformats.org/markup-compatibility/2006">
      <mc:Choice xmlns:a14="http://schemas.microsoft.com/office/drawing/2010/main" Requires="a14">
        <xdr:graphicFrame macro="">
          <xdr:nvGraphicFramePr>
            <xdr:cNvPr id="5" name="Outlet Size">
              <a:extLst>
                <a:ext uri="{FF2B5EF4-FFF2-40B4-BE49-F238E27FC236}">
                  <a16:creationId xmlns:a16="http://schemas.microsoft.com/office/drawing/2014/main" id="{384E785F-5E87-7E6B-0FE0-CCA382AF051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653277" y="280565"/>
              <a:ext cx="1832416" cy="1444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4461</xdr:colOff>
      <xdr:row>11</xdr:row>
      <xdr:rowOff>39728</xdr:rowOff>
    </xdr:from>
    <xdr:to>
      <xdr:col>3</xdr:col>
      <xdr:colOff>1217753</xdr:colOff>
      <xdr:row>18</xdr:row>
      <xdr:rowOff>54016</xdr:rowOff>
    </xdr:to>
    <xdr:graphicFrame macro="">
      <xdr:nvGraphicFramePr>
        <xdr:cNvPr id="6" name="Chart 5">
          <a:extLst>
            <a:ext uri="{FF2B5EF4-FFF2-40B4-BE49-F238E27FC236}">
              <a16:creationId xmlns:a16="http://schemas.microsoft.com/office/drawing/2014/main" id="{BDDD1C20-BADA-907E-AAB3-B620C1B8B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23</xdr:row>
      <xdr:rowOff>195262</xdr:rowOff>
    </xdr:from>
    <xdr:to>
      <xdr:col>5</xdr:col>
      <xdr:colOff>1085849</xdr:colOff>
      <xdr:row>32</xdr:row>
      <xdr:rowOff>171450</xdr:rowOff>
    </xdr:to>
    <xdr:graphicFrame macro="">
      <xdr:nvGraphicFramePr>
        <xdr:cNvPr id="7" name="Chart 6">
          <a:extLst>
            <a:ext uri="{FF2B5EF4-FFF2-40B4-BE49-F238E27FC236}">
              <a16:creationId xmlns:a16="http://schemas.microsoft.com/office/drawing/2014/main" id="{4E505491-5ECE-5BC5-B56A-65BD15FE6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42</xdr:row>
      <xdr:rowOff>14286</xdr:rowOff>
    </xdr:from>
    <xdr:to>
      <xdr:col>6</xdr:col>
      <xdr:colOff>914400</xdr:colOff>
      <xdr:row>55</xdr:row>
      <xdr:rowOff>200024</xdr:rowOff>
    </xdr:to>
    <xdr:graphicFrame macro="">
      <xdr:nvGraphicFramePr>
        <xdr:cNvPr id="8" name="Chart 7">
          <a:extLst>
            <a:ext uri="{FF2B5EF4-FFF2-40B4-BE49-F238E27FC236}">
              <a16:creationId xmlns:a16="http://schemas.microsoft.com/office/drawing/2014/main" id="{D7A2BD2E-09D5-A777-1892-36E74A105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626451</xdr:colOff>
      <xdr:row>60</xdr:row>
      <xdr:rowOff>197583</xdr:rowOff>
    </xdr:from>
    <xdr:to>
      <xdr:col>4</xdr:col>
      <xdr:colOff>683847</xdr:colOff>
      <xdr:row>71</xdr:row>
      <xdr:rowOff>48847</xdr:rowOff>
    </xdr:to>
    <xdr:graphicFrame macro="">
      <xdr:nvGraphicFramePr>
        <xdr:cNvPr id="10" name="Chart 9">
          <a:extLst>
            <a:ext uri="{FF2B5EF4-FFF2-40B4-BE49-F238E27FC236}">
              <a16:creationId xmlns:a16="http://schemas.microsoft.com/office/drawing/2014/main" id="{4D1CE973-76B4-20F3-E08F-762C0B895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269651</xdr:colOff>
      <xdr:row>75</xdr:row>
      <xdr:rowOff>184597</xdr:rowOff>
    </xdr:from>
    <xdr:to>
      <xdr:col>5</xdr:col>
      <xdr:colOff>737852</xdr:colOff>
      <xdr:row>87</xdr:row>
      <xdr:rowOff>201232</xdr:rowOff>
    </xdr:to>
    <xdr:graphicFrame macro="">
      <xdr:nvGraphicFramePr>
        <xdr:cNvPr id="11" name="Chart 10">
          <a:extLst>
            <a:ext uri="{FF2B5EF4-FFF2-40B4-BE49-F238E27FC236}">
              <a16:creationId xmlns:a16="http://schemas.microsoft.com/office/drawing/2014/main" id="{C8F4DE43-1C8F-FA18-1DBF-2011AD03D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378589</xdr:colOff>
      <xdr:row>94</xdr:row>
      <xdr:rowOff>14949</xdr:rowOff>
    </xdr:from>
    <xdr:to>
      <xdr:col>9</xdr:col>
      <xdr:colOff>349652</xdr:colOff>
      <xdr:row>107</xdr:row>
      <xdr:rowOff>132625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1FA4218B-7FA2-2A1D-553E-9F3A793F1B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55564" y="19588824"/>
              <a:ext cx="4285888" cy="27370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209791</xdr:colOff>
      <xdr:row>112</xdr:row>
      <xdr:rowOff>165664</xdr:rowOff>
    </xdr:from>
    <xdr:to>
      <xdr:col>5</xdr:col>
      <xdr:colOff>530506</xdr:colOff>
      <xdr:row>121</xdr:row>
      <xdr:rowOff>0</xdr:rowOff>
    </xdr:to>
    <xdr:graphicFrame macro="">
      <xdr:nvGraphicFramePr>
        <xdr:cNvPr id="15" name="Chart 14">
          <a:extLst>
            <a:ext uri="{FF2B5EF4-FFF2-40B4-BE49-F238E27FC236}">
              <a16:creationId xmlns:a16="http://schemas.microsoft.com/office/drawing/2014/main" id="{51650B71-D842-25E4-D896-943D85375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282133</xdr:colOff>
      <xdr:row>124</xdr:row>
      <xdr:rowOff>168798</xdr:rowOff>
    </xdr:from>
    <xdr:to>
      <xdr:col>5</xdr:col>
      <xdr:colOff>651076</xdr:colOff>
      <xdr:row>133</xdr:row>
      <xdr:rowOff>12057</xdr:rowOff>
    </xdr:to>
    <xdr:graphicFrame macro="">
      <xdr:nvGraphicFramePr>
        <xdr:cNvPr id="16" name="Chart 15">
          <a:extLst>
            <a:ext uri="{FF2B5EF4-FFF2-40B4-BE49-F238E27FC236}">
              <a16:creationId xmlns:a16="http://schemas.microsoft.com/office/drawing/2014/main" id="{EAFE984C-FCFA-7AB4-BE75-BF1A7FE0D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466122</xdr:colOff>
      <xdr:row>21</xdr:row>
      <xdr:rowOff>87413</xdr:rowOff>
    </xdr:from>
    <xdr:to>
      <xdr:col>7</xdr:col>
      <xdr:colOff>1053055</xdr:colOff>
      <xdr:row>27</xdr:row>
      <xdr:rowOff>60285</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EC41C4E9-F44D-181F-7DF9-99B570FF295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085394" y="4524375"/>
              <a:ext cx="1828800" cy="131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668679</xdr:colOff>
      <xdr:row>108</xdr:row>
      <xdr:rowOff>30383</xdr:rowOff>
    </xdr:from>
    <xdr:to>
      <xdr:col>13</xdr:col>
      <xdr:colOff>435739</xdr:colOff>
      <xdr:row>121</xdr:row>
      <xdr:rowOff>32794</xdr:rowOff>
    </xdr:to>
    <mc:AlternateContent xmlns:mc="http://schemas.openxmlformats.org/markup-compatibility/2006">
      <mc:Choice xmlns:a14="http://schemas.microsoft.com/office/drawing/2010/main" Requires="a14">
        <xdr:graphicFrame macro="">
          <xdr:nvGraphicFramePr>
            <xdr:cNvPr id="19" name="Item Type">
              <a:extLst>
                <a:ext uri="{FF2B5EF4-FFF2-40B4-BE49-F238E27FC236}">
                  <a16:creationId xmlns:a16="http://schemas.microsoft.com/office/drawing/2014/main" id="{1DA46061-54C3-B402-9708-80D70B3FD61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302920" y="2258895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90715</xdr:colOff>
      <xdr:row>0</xdr:row>
      <xdr:rowOff>42164</xdr:rowOff>
    </xdr:from>
    <xdr:to>
      <xdr:col>24</xdr:col>
      <xdr:colOff>468691</xdr:colOff>
      <xdr:row>39</xdr:row>
      <xdr:rowOff>78390</xdr:rowOff>
    </xdr:to>
    <xdr:sp macro="" textlink="">
      <xdr:nvSpPr>
        <xdr:cNvPr id="2" name="Rectangle 1">
          <a:extLst>
            <a:ext uri="{FF2B5EF4-FFF2-40B4-BE49-F238E27FC236}">
              <a16:creationId xmlns:a16="http://schemas.microsoft.com/office/drawing/2014/main" id="{68808349-5700-8045-1C9B-FA01C7A5F72D}"/>
            </a:ext>
          </a:extLst>
        </xdr:cNvPr>
        <xdr:cNvSpPr/>
      </xdr:nvSpPr>
      <xdr:spPr>
        <a:xfrm>
          <a:off x="1451429" y="42164"/>
          <a:ext cx="15345833" cy="789813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682364</xdr:colOff>
      <xdr:row>1</xdr:row>
      <xdr:rowOff>7693</xdr:rowOff>
    </xdr:from>
    <xdr:to>
      <xdr:col>6</xdr:col>
      <xdr:colOff>337983</xdr:colOff>
      <xdr:row>38</xdr:row>
      <xdr:rowOff>122902</xdr:rowOff>
    </xdr:to>
    <xdr:sp macro="" textlink="">
      <xdr:nvSpPr>
        <xdr:cNvPr id="3" name="Rectangle: Top Corners Rounded 2">
          <a:extLst>
            <a:ext uri="{FF2B5EF4-FFF2-40B4-BE49-F238E27FC236}">
              <a16:creationId xmlns:a16="http://schemas.microsoft.com/office/drawing/2014/main" id="{06C3AA35-E610-11AA-3C60-8EA405DBE23F}"/>
            </a:ext>
          </a:extLst>
        </xdr:cNvPr>
        <xdr:cNvSpPr/>
      </xdr:nvSpPr>
      <xdr:spPr>
        <a:xfrm rot="5400000">
          <a:off x="-476887" y="2749323"/>
          <a:ext cx="7504765" cy="242094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153629</xdr:colOff>
      <xdr:row>1</xdr:row>
      <xdr:rowOff>138265</xdr:rowOff>
    </xdr:from>
    <xdr:to>
      <xdr:col>6</xdr:col>
      <xdr:colOff>122902</xdr:colOff>
      <xdr:row>5</xdr:row>
      <xdr:rowOff>30725</xdr:rowOff>
    </xdr:to>
    <xdr:sp macro="" textlink="">
      <xdr:nvSpPr>
        <xdr:cNvPr id="4" name="TextBox 3">
          <a:extLst>
            <a:ext uri="{FF2B5EF4-FFF2-40B4-BE49-F238E27FC236}">
              <a16:creationId xmlns:a16="http://schemas.microsoft.com/office/drawing/2014/main" id="{E1D418C6-06A7-7A2F-CF34-B78CF03E6638}"/>
            </a:ext>
          </a:extLst>
        </xdr:cNvPr>
        <xdr:cNvSpPr txBox="1"/>
      </xdr:nvSpPr>
      <xdr:spPr>
        <a:xfrm>
          <a:off x="2227621" y="337983"/>
          <a:ext cx="2043265" cy="691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107540</xdr:colOff>
      <xdr:row>4</xdr:row>
      <xdr:rowOff>138268</xdr:rowOff>
    </xdr:from>
    <xdr:to>
      <xdr:col>6</xdr:col>
      <xdr:colOff>168992</xdr:colOff>
      <xdr:row>6</xdr:row>
      <xdr:rowOff>76815</xdr:rowOff>
    </xdr:to>
    <xdr:sp macro="" textlink="">
      <xdr:nvSpPr>
        <xdr:cNvPr id="5" name="TextBox 4">
          <a:extLst>
            <a:ext uri="{FF2B5EF4-FFF2-40B4-BE49-F238E27FC236}">
              <a16:creationId xmlns:a16="http://schemas.microsoft.com/office/drawing/2014/main" id="{41799E3B-B708-47BD-6A6C-E7E2B182CE5C}"/>
            </a:ext>
          </a:extLst>
        </xdr:cNvPr>
        <xdr:cNvSpPr txBox="1"/>
      </xdr:nvSpPr>
      <xdr:spPr>
        <a:xfrm>
          <a:off x="2181532" y="937139"/>
          <a:ext cx="2135444" cy="337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ea typeface="Segoe UI Black" panose="020B0A02040204020203" pitchFamily="34" charset="0"/>
              <a:cs typeface="Segoe UI Semibold" panose="020B0702040204020203" pitchFamily="34" charset="0"/>
            </a:rPr>
            <a:t>India's</a:t>
          </a:r>
          <a:r>
            <a:rPr lang="en-IN" sz="1400" b="1" baseline="0">
              <a:latin typeface="Segoe UI Semibold" panose="020B0702040204020203" pitchFamily="34" charset="0"/>
              <a:ea typeface="Segoe UI Black" panose="020B0A02040204020203" pitchFamily="34" charset="0"/>
              <a:cs typeface="Segoe UI Semibold" panose="020B0702040204020203" pitchFamily="34" charset="0"/>
            </a:rPr>
            <a:t> Last Minute App</a:t>
          </a:r>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491613</xdr:colOff>
      <xdr:row>1</xdr:row>
      <xdr:rowOff>7680</xdr:rowOff>
    </xdr:from>
    <xdr:to>
      <xdr:col>14</xdr:col>
      <xdr:colOff>546786</xdr:colOff>
      <xdr:row>12</xdr:row>
      <xdr:rowOff>49011</xdr:rowOff>
    </xdr:to>
    <xdr:grpSp>
      <xdr:nvGrpSpPr>
        <xdr:cNvPr id="10" name="Group 9">
          <a:extLst>
            <a:ext uri="{FF2B5EF4-FFF2-40B4-BE49-F238E27FC236}">
              <a16:creationId xmlns:a16="http://schemas.microsoft.com/office/drawing/2014/main" id="{490B58FF-F7A7-28E0-F910-A355E2FC5B18}"/>
            </a:ext>
          </a:extLst>
        </xdr:cNvPr>
        <xdr:cNvGrpSpPr/>
      </xdr:nvGrpSpPr>
      <xdr:grpSpPr>
        <a:xfrm>
          <a:off x="4573756" y="204228"/>
          <a:ext cx="5498030" cy="2203354"/>
          <a:chOff x="4639597" y="207398"/>
          <a:chExt cx="5585818" cy="2238226"/>
        </a:xfrm>
      </xdr:grpSpPr>
      <xdr:sp macro="" textlink="">
        <xdr:nvSpPr>
          <xdr:cNvPr id="6" name="Rectangle: Rounded Corners 5">
            <a:extLst>
              <a:ext uri="{FF2B5EF4-FFF2-40B4-BE49-F238E27FC236}">
                <a16:creationId xmlns:a16="http://schemas.microsoft.com/office/drawing/2014/main" id="{2F0B81B0-1B8E-8B5C-0D57-24E8AC976973}"/>
              </a:ext>
            </a:extLst>
          </xdr:cNvPr>
          <xdr:cNvSpPr/>
        </xdr:nvSpPr>
        <xdr:spPr>
          <a:xfrm>
            <a:off x="4639597" y="207398"/>
            <a:ext cx="2736000" cy="1047600"/>
          </a:xfrm>
          <a:prstGeom prst="roundRect">
            <a:avLst/>
          </a:prstGeom>
          <a:gradFill flip="none" rotWithShape="1">
            <a:gsLst>
              <a:gs pos="0">
                <a:schemeClr val="accent6">
                  <a:lumMod val="75000"/>
                  <a:alpha val="60000"/>
                </a:schemeClr>
              </a:gs>
              <a:gs pos="74000">
                <a:srgbClr val="FFD200"/>
              </a:gs>
              <a:gs pos="48620">
                <a:schemeClr val="accent6">
                  <a:lumMod val="50000"/>
                  <a:alpha val="70000"/>
                </a:schemeClr>
              </a:gs>
              <a:gs pos="20000">
                <a:schemeClr val="accent6">
                  <a:lumMod val="75000"/>
                  <a:alpha val="60000"/>
                </a:schemeClr>
              </a:gs>
              <a:gs pos="100000">
                <a:srgbClr val="FFD200"/>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8E8A991-6C6B-4837-8E7B-ADF83626E29C}"/>
              </a:ext>
            </a:extLst>
          </xdr:cNvPr>
          <xdr:cNvSpPr/>
        </xdr:nvSpPr>
        <xdr:spPr>
          <a:xfrm>
            <a:off x="7489415" y="20739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95EE9F0-8F3B-4194-8754-59DC72CF10C0}"/>
              </a:ext>
            </a:extLst>
          </xdr:cNvPr>
          <xdr:cNvSpPr/>
        </xdr:nvSpPr>
        <xdr:spPr>
          <a:xfrm>
            <a:off x="4639597" y="139802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A98973C-403C-4E5D-A82C-CD91661D6B2C}"/>
              </a:ext>
            </a:extLst>
          </xdr:cNvPr>
          <xdr:cNvSpPr/>
        </xdr:nvSpPr>
        <xdr:spPr>
          <a:xfrm>
            <a:off x="7489415" y="139802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61451</xdr:colOff>
      <xdr:row>2</xdr:row>
      <xdr:rowOff>46090</xdr:rowOff>
    </xdr:from>
    <xdr:to>
      <xdr:col>8</xdr:col>
      <xdr:colOff>476251</xdr:colOff>
      <xdr:row>4</xdr:row>
      <xdr:rowOff>138267</xdr:rowOff>
    </xdr:to>
    <xdr:sp macro="" textlink="'Sheet design'!A6">
      <xdr:nvSpPr>
        <xdr:cNvPr id="12" name="TextBox 11">
          <a:extLst>
            <a:ext uri="{FF2B5EF4-FFF2-40B4-BE49-F238E27FC236}">
              <a16:creationId xmlns:a16="http://schemas.microsoft.com/office/drawing/2014/main" id="{9D557CE8-0131-6BA4-F8EF-5E77E81A246D}"/>
            </a:ext>
          </a:extLst>
        </xdr:cNvPr>
        <xdr:cNvSpPr txBox="1"/>
      </xdr:nvSpPr>
      <xdr:spPr>
        <a:xfrm>
          <a:off x="4900766" y="445525"/>
          <a:ext cx="1106130" cy="49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CFDE7A-3DE4-43CE-BE5E-E603C0D66D62}"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56331</xdr:colOff>
      <xdr:row>4</xdr:row>
      <xdr:rowOff>25604</xdr:rowOff>
    </xdr:from>
    <xdr:to>
      <xdr:col>9</xdr:col>
      <xdr:colOff>133146</xdr:colOff>
      <xdr:row>7</xdr:row>
      <xdr:rowOff>10242</xdr:rowOff>
    </xdr:to>
    <xdr:sp macro="" textlink="'Sheet design'!A6">
      <xdr:nvSpPr>
        <xdr:cNvPr id="13" name="TextBox 12">
          <a:extLst>
            <a:ext uri="{FF2B5EF4-FFF2-40B4-BE49-F238E27FC236}">
              <a16:creationId xmlns:a16="http://schemas.microsoft.com/office/drawing/2014/main" id="{B1EF03B4-C231-496B-BB55-B963BB0B493F}"/>
            </a:ext>
          </a:extLst>
        </xdr:cNvPr>
        <xdr:cNvSpPr txBox="1"/>
      </xdr:nvSpPr>
      <xdr:spPr>
        <a:xfrm>
          <a:off x="4859799" y="844959"/>
          <a:ext cx="1449234" cy="59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11</xdr:col>
      <xdr:colOff>399436</xdr:colOff>
      <xdr:row>2</xdr:row>
      <xdr:rowOff>15365</xdr:rowOff>
    </xdr:from>
    <xdr:to>
      <xdr:col>13</xdr:col>
      <xdr:colOff>122905</xdr:colOff>
      <xdr:row>4</xdr:row>
      <xdr:rowOff>107542</xdr:rowOff>
    </xdr:to>
    <xdr:sp macro="" textlink="'Sheet design'!B6">
      <xdr:nvSpPr>
        <xdr:cNvPr id="14" name="TextBox 13">
          <a:extLst>
            <a:ext uri="{FF2B5EF4-FFF2-40B4-BE49-F238E27FC236}">
              <a16:creationId xmlns:a16="http://schemas.microsoft.com/office/drawing/2014/main" id="{8F2623E8-C709-4A6B-B60D-D308636E0083}"/>
            </a:ext>
          </a:extLst>
        </xdr:cNvPr>
        <xdr:cNvSpPr txBox="1"/>
      </xdr:nvSpPr>
      <xdr:spPr>
        <a:xfrm>
          <a:off x="7975474" y="425673"/>
          <a:ext cx="1100931" cy="50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6237F9-407F-4A59-8666-B2F407645D57}"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$141</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445525</xdr:colOff>
      <xdr:row>4</xdr:row>
      <xdr:rowOff>38406</xdr:rowOff>
    </xdr:from>
    <xdr:to>
      <xdr:col>13</xdr:col>
      <xdr:colOff>522340</xdr:colOff>
      <xdr:row>7</xdr:row>
      <xdr:rowOff>23044</xdr:rowOff>
    </xdr:to>
    <xdr:sp macro="" textlink="'Sheet design'!A6">
      <xdr:nvSpPr>
        <xdr:cNvPr id="15" name="TextBox 14">
          <a:extLst>
            <a:ext uri="{FF2B5EF4-FFF2-40B4-BE49-F238E27FC236}">
              <a16:creationId xmlns:a16="http://schemas.microsoft.com/office/drawing/2014/main" id="{F1E0E4D0-5D58-480B-857E-2CDC73B94976}"/>
            </a:ext>
          </a:extLst>
        </xdr:cNvPr>
        <xdr:cNvSpPr txBox="1"/>
      </xdr:nvSpPr>
      <xdr:spPr>
        <a:xfrm>
          <a:off x="8021563" y="859021"/>
          <a:ext cx="1454277" cy="6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7</xdr:col>
      <xdr:colOff>230442</xdr:colOff>
      <xdr:row>7</xdr:row>
      <xdr:rowOff>153629</xdr:rowOff>
    </xdr:from>
    <xdr:to>
      <xdr:col>8</xdr:col>
      <xdr:colOff>645242</xdr:colOff>
      <xdr:row>10</xdr:row>
      <xdr:rowOff>46089</xdr:rowOff>
    </xdr:to>
    <xdr:sp macro="" textlink="'Sheet design'!C6">
      <xdr:nvSpPr>
        <xdr:cNvPr id="16" name="TextBox 15">
          <a:extLst>
            <a:ext uri="{FF2B5EF4-FFF2-40B4-BE49-F238E27FC236}">
              <a16:creationId xmlns:a16="http://schemas.microsoft.com/office/drawing/2014/main" id="{E4CEEA76-53DC-4DBD-B1AB-5B75E4BB9268}"/>
            </a:ext>
          </a:extLst>
        </xdr:cNvPr>
        <xdr:cNvSpPr txBox="1"/>
      </xdr:nvSpPr>
      <xdr:spPr>
        <a:xfrm>
          <a:off x="5069757" y="1551653"/>
          <a:ext cx="1106130" cy="49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6EE611-755B-4DFE-B628-3791BCBF9E5B}"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8523</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660604</xdr:colOff>
      <xdr:row>7</xdr:row>
      <xdr:rowOff>153631</xdr:rowOff>
    </xdr:from>
    <xdr:to>
      <xdr:col>13</xdr:col>
      <xdr:colOff>599154</xdr:colOff>
      <xdr:row>9</xdr:row>
      <xdr:rowOff>168993</xdr:rowOff>
    </xdr:to>
    <xdr:sp macro="" textlink="'Sheet design'!D6">
      <xdr:nvSpPr>
        <xdr:cNvPr id="18" name="TextBox 17">
          <a:extLst>
            <a:ext uri="{FF2B5EF4-FFF2-40B4-BE49-F238E27FC236}">
              <a16:creationId xmlns:a16="http://schemas.microsoft.com/office/drawing/2014/main" id="{0C6B0FCD-08BD-48DC-A9F9-11A8CCA6F342}"/>
            </a:ext>
          </a:extLst>
        </xdr:cNvPr>
        <xdr:cNvSpPr txBox="1"/>
      </xdr:nvSpPr>
      <xdr:spPr>
        <a:xfrm>
          <a:off x="8236642" y="1589708"/>
          <a:ext cx="1316012" cy="425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E85CEE-40DB-48CC-B8F7-A206B876048A}"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4.0</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106830</xdr:colOff>
      <xdr:row>9</xdr:row>
      <xdr:rowOff>108958</xdr:rowOff>
    </xdr:from>
    <xdr:to>
      <xdr:col>9</xdr:col>
      <xdr:colOff>183645</xdr:colOff>
      <xdr:row>11</xdr:row>
      <xdr:rowOff>155048</xdr:rowOff>
    </xdr:to>
    <xdr:sp macro="" textlink="'Sheet design'!A6">
      <xdr:nvSpPr>
        <xdr:cNvPr id="22" name="TextBox 21">
          <a:extLst>
            <a:ext uri="{FF2B5EF4-FFF2-40B4-BE49-F238E27FC236}">
              <a16:creationId xmlns:a16="http://schemas.microsoft.com/office/drawing/2014/main" id="{6B8717E4-3B7A-4FB3-8E4F-84E95E7B451B}"/>
            </a:ext>
          </a:extLst>
        </xdr:cNvPr>
        <xdr:cNvSpPr txBox="1"/>
      </xdr:nvSpPr>
      <xdr:spPr>
        <a:xfrm>
          <a:off x="4927945" y="1955343"/>
          <a:ext cx="1454277" cy="45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NO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445524</xdr:colOff>
      <xdr:row>9</xdr:row>
      <xdr:rowOff>122902</xdr:rowOff>
    </xdr:from>
    <xdr:to>
      <xdr:col>13</xdr:col>
      <xdr:colOff>522339</xdr:colOff>
      <xdr:row>11</xdr:row>
      <xdr:rowOff>76814</xdr:rowOff>
    </xdr:to>
    <xdr:sp macro="" textlink="'Sheet design'!A6">
      <xdr:nvSpPr>
        <xdr:cNvPr id="23" name="TextBox 22">
          <a:extLst>
            <a:ext uri="{FF2B5EF4-FFF2-40B4-BE49-F238E27FC236}">
              <a16:creationId xmlns:a16="http://schemas.microsoft.com/office/drawing/2014/main" id="{CC2AB8C2-5E1D-405F-B1E5-9B89648AA637}"/>
            </a:ext>
          </a:extLst>
        </xdr:cNvPr>
        <xdr:cNvSpPr txBox="1"/>
      </xdr:nvSpPr>
      <xdr:spPr>
        <a:xfrm>
          <a:off x="8021562" y="1969287"/>
          <a:ext cx="1454277" cy="36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14</xdr:col>
      <xdr:colOff>29308</xdr:colOff>
      <xdr:row>1</xdr:row>
      <xdr:rowOff>102576</xdr:rowOff>
    </xdr:from>
    <xdr:to>
      <xdr:col>14</xdr:col>
      <xdr:colOff>454270</xdr:colOff>
      <xdr:row>3</xdr:row>
      <xdr:rowOff>117230</xdr:rowOff>
    </xdr:to>
    <xdr:pic>
      <xdr:nvPicPr>
        <xdr:cNvPr id="33" name="Picture 32">
          <a:extLst>
            <a:ext uri="{FF2B5EF4-FFF2-40B4-BE49-F238E27FC236}">
              <a16:creationId xmlns:a16="http://schemas.microsoft.com/office/drawing/2014/main" id="{272B21F2-DE2D-B288-EEED-59B00AA2F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71539" y="307730"/>
          <a:ext cx="424962" cy="424962"/>
        </a:xfrm>
        <a:prstGeom prst="rect">
          <a:avLst/>
        </a:prstGeom>
      </xdr:spPr>
    </xdr:pic>
    <xdr:clientData/>
  </xdr:twoCellAnchor>
  <xdr:twoCellAnchor editAs="oneCell">
    <xdr:from>
      <xdr:col>9</xdr:col>
      <xdr:colOff>644769</xdr:colOff>
      <xdr:row>1</xdr:row>
      <xdr:rowOff>102577</xdr:rowOff>
    </xdr:from>
    <xdr:to>
      <xdr:col>10</xdr:col>
      <xdr:colOff>380999</xdr:colOff>
      <xdr:row>3</xdr:row>
      <xdr:rowOff>117230</xdr:rowOff>
    </xdr:to>
    <xdr:pic>
      <xdr:nvPicPr>
        <xdr:cNvPr id="35" name="Picture 34">
          <a:extLst>
            <a:ext uri="{FF2B5EF4-FFF2-40B4-BE49-F238E27FC236}">
              <a16:creationId xmlns:a16="http://schemas.microsoft.com/office/drawing/2014/main" id="{318A3229-1FC9-7678-EF66-7EDC57A786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3346" y="307731"/>
          <a:ext cx="424961" cy="424961"/>
        </a:xfrm>
        <a:prstGeom prst="rect">
          <a:avLst/>
        </a:prstGeom>
      </xdr:spPr>
    </xdr:pic>
    <xdr:clientData/>
  </xdr:twoCellAnchor>
  <xdr:twoCellAnchor editAs="oneCell">
    <xdr:from>
      <xdr:col>14</xdr:col>
      <xdr:colOff>58615</xdr:colOff>
      <xdr:row>7</xdr:row>
      <xdr:rowOff>29307</xdr:rowOff>
    </xdr:from>
    <xdr:to>
      <xdr:col>14</xdr:col>
      <xdr:colOff>483576</xdr:colOff>
      <xdr:row>9</xdr:row>
      <xdr:rowOff>43960</xdr:rowOff>
    </xdr:to>
    <xdr:pic>
      <xdr:nvPicPr>
        <xdr:cNvPr id="37" name="Picture 36">
          <a:extLst>
            <a:ext uri="{FF2B5EF4-FFF2-40B4-BE49-F238E27FC236}">
              <a16:creationId xmlns:a16="http://schemas.microsoft.com/office/drawing/2014/main" id="{07C66556-B2F1-9307-7693-2C3528CCC3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00846" y="1465384"/>
          <a:ext cx="424961" cy="424961"/>
        </a:xfrm>
        <a:prstGeom prst="rect">
          <a:avLst/>
        </a:prstGeom>
      </xdr:spPr>
    </xdr:pic>
    <xdr:clientData/>
  </xdr:twoCellAnchor>
  <xdr:twoCellAnchor editAs="oneCell">
    <xdr:from>
      <xdr:col>10</xdr:col>
      <xdr:colOff>43962</xdr:colOff>
      <xdr:row>7</xdr:row>
      <xdr:rowOff>73269</xdr:rowOff>
    </xdr:from>
    <xdr:to>
      <xdr:col>10</xdr:col>
      <xdr:colOff>395654</xdr:colOff>
      <xdr:row>9</xdr:row>
      <xdr:rowOff>14653</xdr:rowOff>
    </xdr:to>
    <xdr:pic>
      <xdr:nvPicPr>
        <xdr:cNvPr id="39" name="Picture 38">
          <a:extLst>
            <a:ext uri="{FF2B5EF4-FFF2-40B4-BE49-F238E27FC236}">
              <a16:creationId xmlns:a16="http://schemas.microsoft.com/office/drawing/2014/main" id="{7847F609-A452-41D3-565C-BA4B1C5FE5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6931270" y="1509346"/>
          <a:ext cx="351692" cy="351692"/>
        </a:xfrm>
        <a:prstGeom prst="rect">
          <a:avLst/>
        </a:prstGeom>
      </xdr:spPr>
    </xdr:pic>
    <xdr:clientData/>
  </xdr:twoCellAnchor>
  <xdr:twoCellAnchor>
    <xdr:from>
      <xdr:col>6</xdr:col>
      <xdr:colOff>512883</xdr:colOff>
      <xdr:row>12</xdr:row>
      <xdr:rowOff>175846</xdr:rowOff>
    </xdr:from>
    <xdr:to>
      <xdr:col>14</xdr:col>
      <xdr:colOff>644769</xdr:colOff>
      <xdr:row>38</xdr:row>
      <xdr:rowOff>14654</xdr:rowOff>
    </xdr:to>
    <xdr:sp macro="" textlink="">
      <xdr:nvSpPr>
        <xdr:cNvPr id="41" name="Rectangle: Rounded Corners 40">
          <a:extLst>
            <a:ext uri="{FF2B5EF4-FFF2-40B4-BE49-F238E27FC236}">
              <a16:creationId xmlns:a16="http://schemas.microsoft.com/office/drawing/2014/main" id="{9E4517C0-5036-43B5-9C92-75103094B866}"/>
            </a:ext>
          </a:extLst>
        </xdr:cNvPr>
        <xdr:cNvSpPr/>
      </xdr:nvSpPr>
      <xdr:spPr>
        <a:xfrm>
          <a:off x="4654187" y="2494976"/>
          <a:ext cx="5653625" cy="5070656"/>
        </a:xfrm>
        <a:prstGeom prst="roundRect">
          <a:avLst>
            <a:gd name="adj" fmla="val 51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58615</xdr:colOff>
      <xdr:row>15</xdr:row>
      <xdr:rowOff>-1</xdr:rowOff>
    </xdr:from>
    <xdr:to>
      <xdr:col>10</xdr:col>
      <xdr:colOff>296422</xdr:colOff>
      <xdr:row>23</xdr:row>
      <xdr:rowOff>137469</xdr:rowOff>
    </xdr:to>
    <xdr:graphicFrame macro="">
      <xdr:nvGraphicFramePr>
        <xdr:cNvPr id="42" name="Chart 41">
          <a:extLst>
            <a:ext uri="{FF2B5EF4-FFF2-40B4-BE49-F238E27FC236}">
              <a16:creationId xmlns:a16="http://schemas.microsoft.com/office/drawing/2014/main" id="{C0DFF362-7546-427A-A3F7-E93A83229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644767</xdr:colOff>
      <xdr:row>13</xdr:row>
      <xdr:rowOff>87921</xdr:rowOff>
    </xdr:from>
    <xdr:to>
      <xdr:col>9</xdr:col>
      <xdr:colOff>32852</xdr:colOff>
      <xdr:row>15</xdr:row>
      <xdr:rowOff>134010</xdr:rowOff>
    </xdr:to>
    <xdr:sp macro="" textlink="'Sheet design'!A6">
      <xdr:nvSpPr>
        <xdr:cNvPr id="43" name="TextBox 42">
          <a:extLst>
            <a:ext uri="{FF2B5EF4-FFF2-40B4-BE49-F238E27FC236}">
              <a16:creationId xmlns:a16="http://schemas.microsoft.com/office/drawing/2014/main" id="{AED287A9-94EF-4537-8A47-D40931BDCCE3}"/>
            </a:ext>
          </a:extLst>
        </xdr:cNvPr>
        <xdr:cNvSpPr txBox="1"/>
      </xdr:nvSpPr>
      <xdr:spPr>
        <a:xfrm>
          <a:off x="4777152" y="2754921"/>
          <a:ext cx="1454277" cy="45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FAT CONTENT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512884</xdr:colOff>
      <xdr:row>13</xdr:row>
      <xdr:rowOff>87923</xdr:rowOff>
    </xdr:from>
    <xdr:to>
      <xdr:col>10</xdr:col>
      <xdr:colOff>556846</xdr:colOff>
      <xdr:row>37</xdr:row>
      <xdr:rowOff>29308</xdr:rowOff>
    </xdr:to>
    <xdr:cxnSp macro="">
      <xdr:nvCxnSpPr>
        <xdr:cNvPr id="45" name="Straight Connector 44">
          <a:extLst>
            <a:ext uri="{FF2B5EF4-FFF2-40B4-BE49-F238E27FC236}">
              <a16:creationId xmlns:a16="http://schemas.microsoft.com/office/drawing/2014/main" id="{491527F5-688A-6FE6-2272-567A5EE872BC}"/>
            </a:ext>
          </a:extLst>
        </xdr:cNvPr>
        <xdr:cNvCxnSpPr/>
      </xdr:nvCxnSpPr>
      <xdr:spPr>
        <a:xfrm>
          <a:off x="7400192" y="2754923"/>
          <a:ext cx="43962" cy="5055577"/>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58615</xdr:colOff>
      <xdr:row>24</xdr:row>
      <xdr:rowOff>43962</xdr:rowOff>
    </xdr:from>
    <xdr:to>
      <xdr:col>10</xdr:col>
      <xdr:colOff>439615</xdr:colOff>
      <xdr:row>24</xdr:row>
      <xdr:rowOff>43962</xdr:rowOff>
    </xdr:to>
    <xdr:cxnSp macro="">
      <xdr:nvCxnSpPr>
        <xdr:cNvPr id="48" name="Straight Connector 47">
          <a:extLst>
            <a:ext uri="{FF2B5EF4-FFF2-40B4-BE49-F238E27FC236}">
              <a16:creationId xmlns:a16="http://schemas.microsoft.com/office/drawing/2014/main" id="{299BFA4B-40FC-8CEA-8350-AF3B197E06D5}"/>
            </a:ext>
          </a:extLst>
        </xdr:cNvPr>
        <xdr:cNvCxnSpPr/>
      </xdr:nvCxnSpPr>
      <xdr:spPr>
        <a:xfrm>
          <a:off x="4879730" y="5158154"/>
          <a:ext cx="2447193" cy="0"/>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650915</xdr:colOff>
      <xdr:row>27</xdr:row>
      <xdr:rowOff>0</xdr:rowOff>
    </xdr:from>
    <xdr:to>
      <xdr:col>10</xdr:col>
      <xdr:colOff>384075</xdr:colOff>
      <xdr:row>37</xdr:row>
      <xdr:rowOff>12326</xdr:rowOff>
    </xdr:to>
    <xdr:graphicFrame macro="">
      <xdr:nvGraphicFramePr>
        <xdr:cNvPr id="50" name="Chart 49">
          <a:extLst>
            <a:ext uri="{FF2B5EF4-FFF2-40B4-BE49-F238E27FC236}">
              <a16:creationId xmlns:a16="http://schemas.microsoft.com/office/drawing/2014/main" id="{31E88C50-0062-4E04-BD1A-0DDCAFEC8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5671</xdr:colOff>
      <xdr:row>25</xdr:row>
      <xdr:rowOff>25999</xdr:rowOff>
    </xdr:from>
    <xdr:to>
      <xdr:col>9</xdr:col>
      <xdr:colOff>85087</xdr:colOff>
      <xdr:row>27</xdr:row>
      <xdr:rowOff>72087</xdr:rowOff>
    </xdr:to>
    <xdr:sp macro="" textlink="'Sheet design'!R34">
      <xdr:nvSpPr>
        <xdr:cNvPr id="51" name="TextBox 50">
          <a:extLst>
            <a:ext uri="{FF2B5EF4-FFF2-40B4-BE49-F238E27FC236}">
              <a16:creationId xmlns:a16="http://schemas.microsoft.com/office/drawing/2014/main" id="{91774F06-226B-4C91-9B56-C4144D9C1707}"/>
            </a:ext>
          </a:extLst>
        </xdr:cNvPr>
        <xdr:cNvSpPr txBox="1"/>
      </xdr:nvSpPr>
      <xdr:spPr>
        <a:xfrm>
          <a:off x="4844986" y="5218660"/>
          <a:ext cx="1462077" cy="44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FAT BY OUTLETS </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98753</xdr:colOff>
      <xdr:row>13</xdr:row>
      <xdr:rowOff>175846</xdr:rowOff>
    </xdr:from>
    <xdr:to>
      <xdr:col>13</xdr:col>
      <xdr:colOff>177056</xdr:colOff>
      <xdr:row>16</xdr:row>
      <xdr:rowOff>28674</xdr:rowOff>
    </xdr:to>
    <xdr:sp macro="" textlink="'Sheet design'!A6">
      <xdr:nvSpPr>
        <xdr:cNvPr id="52" name="TextBox 51">
          <a:extLst>
            <a:ext uri="{FF2B5EF4-FFF2-40B4-BE49-F238E27FC236}">
              <a16:creationId xmlns:a16="http://schemas.microsoft.com/office/drawing/2014/main" id="{050F6C62-884C-4DAF-BF1D-197BBA8E878A}"/>
            </a:ext>
          </a:extLst>
        </xdr:cNvPr>
        <xdr:cNvSpPr txBox="1"/>
      </xdr:nvSpPr>
      <xdr:spPr>
        <a:xfrm>
          <a:off x="7691144" y="2688237"/>
          <a:ext cx="1458738" cy="43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ITEM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15926</xdr:colOff>
      <xdr:row>15</xdr:row>
      <xdr:rowOff>55217</xdr:rowOff>
    </xdr:from>
    <xdr:to>
      <xdr:col>14</xdr:col>
      <xdr:colOff>496957</xdr:colOff>
      <xdr:row>37</xdr:row>
      <xdr:rowOff>138044</xdr:rowOff>
    </xdr:to>
    <xdr:graphicFrame macro="">
      <xdr:nvGraphicFramePr>
        <xdr:cNvPr id="53" name="Chart 52">
          <a:extLst>
            <a:ext uri="{FF2B5EF4-FFF2-40B4-BE49-F238E27FC236}">
              <a16:creationId xmlns:a16="http://schemas.microsoft.com/office/drawing/2014/main" id="{53AC0F79-F7A0-490A-9095-D0EBAA5CC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303695</xdr:colOff>
      <xdr:row>0</xdr:row>
      <xdr:rowOff>151849</xdr:rowOff>
    </xdr:from>
    <xdr:to>
      <xdr:col>23</xdr:col>
      <xdr:colOff>642647</xdr:colOff>
      <xdr:row>37</xdr:row>
      <xdr:rowOff>138044</xdr:rowOff>
    </xdr:to>
    <xdr:sp macro="" textlink="">
      <xdr:nvSpPr>
        <xdr:cNvPr id="55" name="Rectangle: Rounded Corners 54">
          <a:extLst>
            <a:ext uri="{FF2B5EF4-FFF2-40B4-BE49-F238E27FC236}">
              <a16:creationId xmlns:a16="http://schemas.microsoft.com/office/drawing/2014/main" id="{F3C81AB6-E9C3-4079-87C3-7860EECF8E6B}"/>
            </a:ext>
          </a:extLst>
        </xdr:cNvPr>
        <xdr:cNvSpPr/>
      </xdr:nvSpPr>
      <xdr:spPr>
        <a:xfrm>
          <a:off x="10656956" y="151849"/>
          <a:ext cx="5860691" cy="7343912"/>
        </a:xfrm>
        <a:prstGeom prst="roundRect">
          <a:avLst>
            <a:gd name="adj" fmla="val 5179"/>
          </a:avLst>
        </a:prstGeom>
        <a:solidFill>
          <a:srgbClr val="FAFAFA"/>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386521</xdr:colOff>
      <xdr:row>0</xdr:row>
      <xdr:rowOff>82827</xdr:rowOff>
    </xdr:from>
    <xdr:to>
      <xdr:col>19</xdr:col>
      <xdr:colOff>345109</xdr:colOff>
      <xdr:row>2</xdr:row>
      <xdr:rowOff>96630</xdr:rowOff>
    </xdr:to>
    <xdr:sp macro="" textlink="'Sheet design'!A6">
      <xdr:nvSpPr>
        <xdr:cNvPr id="56" name="TextBox 55">
          <a:extLst>
            <a:ext uri="{FF2B5EF4-FFF2-40B4-BE49-F238E27FC236}">
              <a16:creationId xmlns:a16="http://schemas.microsoft.com/office/drawing/2014/main" id="{B89D9AD8-7F31-481D-86E9-249E0F435A56}"/>
            </a:ext>
          </a:extLst>
        </xdr:cNvPr>
        <xdr:cNvSpPr txBox="1"/>
      </xdr:nvSpPr>
      <xdr:spPr>
        <a:xfrm>
          <a:off x="10739782" y="82827"/>
          <a:ext cx="2719457" cy="40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ESTABLISHMENT </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220867</xdr:colOff>
      <xdr:row>2</xdr:row>
      <xdr:rowOff>13808</xdr:rowOff>
    </xdr:from>
    <xdr:to>
      <xdr:col>23</xdr:col>
      <xdr:colOff>441739</xdr:colOff>
      <xdr:row>11</xdr:row>
      <xdr:rowOff>138044</xdr:rowOff>
    </xdr:to>
    <xdr:graphicFrame macro="">
      <xdr:nvGraphicFramePr>
        <xdr:cNvPr id="58" name="Chart 57">
          <a:extLst>
            <a:ext uri="{FF2B5EF4-FFF2-40B4-BE49-F238E27FC236}">
              <a16:creationId xmlns:a16="http://schemas.microsoft.com/office/drawing/2014/main" id="{310E3E0E-1930-419D-8709-7977CDDC6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331304</xdr:colOff>
      <xdr:row>12</xdr:row>
      <xdr:rowOff>69022</xdr:rowOff>
    </xdr:from>
    <xdr:to>
      <xdr:col>23</xdr:col>
      <xdr:colOff>317500</xdr:colOff>
      <xdr:row>12</xdr:row>
      <xdr:rowOff>82827</xdr:rowOff>
    </xdr:to>
    <xdr:cxnSp macro="">
      <xdr:nvCxnSpPr>
        <xdr:cNvPr id="60" name="Straight Connector 59">
          <a:extLst>
            <a:ext uri="{FF2B5EF4-FFF2-40B4-BE49-F238E27FC236}">
              <a16:creationId xmlns:a16="http://schemas.microsoft.com/office/drawing/2014/main" id="{3EBF7EC2-8A64-52C7-577C-F5B7F99E78A4}"/>
            </a:ext>
          </a:extLst>
        </xdr:cNvPr>
        <xdr:cNvCxnSpPr/>
      </xdr:nvCxnSpPr>
      <xdr:spPr>
        <a:xfrm flipV="1">
          <a:off x="10684565" y="2388152"/>
          <a:ext cx="5507935" cy="13805"/>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648805</xdr:colOff>
      <xdr:row>15</xdr:row>
      <xdr:rowOff>13805</xdr:rowOff>
    </xdr:from>
    <xdr:to>
      <xdr:col>19</xdr:col>
      <xdr:colOff>213501</xdr:colOff>
      <xdr:row>27</xdr:row>
      <xdr:rowOff>26356</xdr:rowOff>
    </xdr:to>
    <xdr:graphicFrame macro="">
      <xdr:nvGraphicFramePr>
        <xdr:cNvPr id="63" name="Chart 62">
          <a:extLst>
            <a:ext uri="{FF2B5EF4-FFF2-40B4-BE49-F238E27FC236}">
              <a16:creationId xmlns:a16="http://schemas.microsoft.com/office/drawing/2014/main" id="{330066C5-2290-4E73-BCD9-945CF7E4C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414131</xdr:colOff>
      <xdr:row>13</xdr:row>
      <xdr:rowOff>1</xdr:rowOff>
    </xdr:from>
    <xdr:to>
      <xdr:col>18</xdr:col>
      <xdr:colOff>400327</xdr:colOff>
      <xdr:row>15</xdr:row>
      <xdr:rowOff>13804</xdr:rowOff>
    </xdr:to>
    <xdr:sp macro="" textlink="'Sheet design'!A6">
      <xdr:nvSpPr>
        <xdr:cNvPr id="65" name="TextBox 64">
          <a:extLst>
            <a:ext uri="{FF2B5EF4-FFF2-40B4-BE49-F238E27FC236}">
              <a16:creationId xmlns:a16="http://schemas.microsoft.com/office/drawing/2014/main" id="{7238C33A-FA0C-4C27-8A9A-FAD86F39A5CD}"/>
            </a:ext>
          </a:extLst>
        </xdr:cNvPr>
        <xdr:cNvSpPr txBox="1"/>
      </xdr:nvSpPr>
      <xdr:spPr>
        <a:xfrm>
          <a:off x="10767392" y="2512392"/>
          <a:ext cx="2056848" cy="40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SIZE </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151847</xdr:colOff>
      <xdr:row>16</xdr:row>
      <xdr:rowOff>1</xdr:rowOff>
    </xdr:from>
    <xdr:to>
      <xdr:col>23</xdr:col>
      <xdr:colOff>455543</xdr:colOff>
      <xdr:row>27</xdr:row>
      <xdr:rowOff>69022</xdr:rowOff>
    </xdr:to>
    <mc:AlternateContent xmlns:mc="http://schemas.openxmlformats.org/markup-compatibility/2006">
      <mc:Choice xmlns:cx2="http://schemas.microsoft.com/office/drawing/2015/10/21/chartex" Requires="cx2">
        <xdr:graphicFrame macro="">
          <xdr:nvGraphicFramePr>
            <xdr:cNvPr id="66" name="Chart 65">
              <a:extLst>
                <a:ext uri="{FF2B5EF4-FFF2-40B4-BE49-F238E27FC236}">
                  <a16:creationId xmlns:a16="http://schemas.microsoft.com/office/drawing/2014/main" id="{37A23FFB-1275-46CB-90F9-F787060CA8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82047" y="3200401"/>
              <a:ext cx="3046896" cy="24693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289891</xdr:colOff>
      <xdr:row>13</xdr:row>
      <xdr:rowOff>13806</xdr:rowOff>
    </xdr:from>
    <xdr:to>
      <xdr:col>23</xdr:col>
      <xdr:colOff>248478</xdr:colOff>
      <xdr:row>15</xdr:row>
      <xdr:rowOff>27609</xdr:rowOff>
    </xdr:to>
    <xdr:sp macro="" textlink="'Sheet design'!A6">
      <xdr:nvSpPr>
        <xdr:cNvPr id="67" name="TextBox 66">
          <a:extLst>
            <a:ext uri="{FF2B5EF4-FFF2-40B4-BE49-F238E27FC236}">
              <a16:creationId xmlns:a16="http://schemas.microsoft.com/office/drawing/2014/main" id="{B06854F1-B72E-4962-B5FD-E0F464801E1E}"/>
            </a:ext>
          </a:extLst>
        </xdr:cNvPr>
        <xdr:cNvSpPr txBox="1"/>
      </xdr:nvSpPr>
      <xdr:spPr>
        <a:xfrm>
          <a:off x="13404021" y="2526197"/>
          <a:ext cx="2719457" cy="40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LOCATION </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400326</xdr:colOff>
      <xdr:row>26</xdr:row>
      <xdr:rowOff>124239</xdr:rowOff>
    </xdr:from>
    <xdr:to>
      <xdr:col>23</xdr:col>
      <xdr:colOff>552174</xdr:colOff>
      <xdr:row>26</xdr:row>
      <xdr:rowOff>151848</xdr:rowOff>
    </xdr:to>
    <xdr:cxnSp macro="">
      <xdr:nvCxnSpPr>
        <xdr:cNvPr id="69" name="Straight Connector 68">
          <a:extLst>
            <a:ext uri="{FF2B5EF4-FFF2-40B4-BE49-F238E27FC236}">
              <a16:creationId xmlns:a16="http://schemas.microsoft.com/office/drawing/2014/main" id="{F0A67B11-B3CA-80A3-B34F-78B8C5000946}"/>
            </a:ext>
          </a:extLst>
        </xdr:cNvPr>
        <xdr:cNvCxnSpPr/>
      </xdr:nvCxnSpPr>
      <xdr:spPr>
        <a:xfrm>
          <a:off x="10753587" y="5356087"/>
          <a:ext cx="5673587" cy="27609"/>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272839</xdr:colOff>
      <xdr:row>28</xdr:row>
      <xdr:rowOff>199444</xdr:rowOff>
    </xdr:from>
    <xdr:to>
      <xdr:col>19</xdr:col>
      <xdr:colOff>653676</xdr:colOff>
      <xdr:row>36</xdr:row>
      <xdr:rowOff>197007</xdr:rowOff>
    </xdr:to>
    <xdr:graphicFrame macro="">
      <xdr:nvGraphicFramePr>
        <xdr:cNvPr id="81" name="Chart 80">
          <a:extLst>
            <a:ext uri="{FF2B5EF4-FFF2-40B4-BE49-F238E27FC236}">
              <a16:creationId xmlns:a16="http://schemas.microsoft.com/office/drawing/2014/main" id="{EBD23EEA-E14A-4DED-9272-7919E129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435505</xdr:colOff>
      <xdr:row>27</xdr:row>
      <xdr:rowOff>131365</xdr:rowOff>
    </xdr:from>
    <xdr:to>
      <xdr:col>18</xdr:col>
      <xdr:colOff>421701</xdr:colOff>
      <xdr:row>29</xdr:row>
      <xdr:rowOff>145169</xdr:rowOff>
    </xdr:to>
    <xdr:sp macro="" textlink="'Sheet design'!A6">
      <xdr:nvSpPr>
        <xdr:cNvPr id="82" name="TextBox 81">
          <a:extLst>
            <a:ext uri="{FF2B5EF4-FFF2-40B4-BE49-F238E27FC236}">
              <a16:creationId xmlns:a16="http://schemas.microsoft.com/office/drawing/2014/main" id="{F979D61D-6895-486D-B7CF-F0AC4C207095}"/>
            </a:ext>
          </a:extLst>
        </xdr:cNvPr>
        <xdr:cNvSpPr txBox="1"/>
      </xdr:nvSpPr>
      <xdr:spPr>
        <a:xfrm>
          <a:off x="10728650" y="5856607"/>
          <a:ext cx="2044825" cy="423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532581</xdr:colOff>
      <xdr:row>28</xdr:row>
      <xdr:rowOff>133146</xdr:rowOff>
    </xdr:from>
    <xdr:to>
      <xdr:col>23</xdr:col>
      <xdr:colOff>655483</xdr:colOff>
      <xdr:row>37</xdr:row>
      <xdr:rowOff>71694</xdr:rowOff>
    </xdr:to>
    <xdr:graphicFrame macro="">
      <xdr:nvGraphicFramePr>
        <xdr:cNvPr id="83" name="Chart 82">
          <a:extLst>
            <a:ext uri="{FF2B5EF4-FFF2-40B4-BE49-F238E27FC236}">
              <a16:creationId xmlns:a16="http://schemas.microsoft.com/office/drawing/2014/main" id="{57A15941-421D-41F6-84DB-A36754089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266292</xdr:colOff>
      <xdr:row>6</xdr:row>
      <xdr:rowOff>163871</xdr:rowOff>
    </xdr:from>
    <xdr:to>
      <xdr:col>3</xdr:col>
      <xdr:colOff>491616</xdr:colOff>
      <xdr:row>7</xdr:row>
      <xdr:rowOff>184356</xdr:rowOff>
    </xdr:to>
    <xdr:pic>
      <xdr:nvPicPr>
        <xdr:cNvPr id="85" name="Picture 84">
          <a:extLst>
            <a:ext uri="{FF2B5EF4-FFF2-40B4-BE49-F238E27FC236}">
              <a16:creationId xmlns:a16="http://schemas.microsoft.com/office/drawing/2014/main" id="{310659D1-4C05-6685-7776-872995CEB11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24921" y="1392903"/>
          <a:ext cx="225324" cy="225324"/>
        </a:xfrm>
        <a:prstGeom prst="rect">
          <a:avLst/>
        </a:prstGeom>
      </xdr:spPr>
    </xdr:pic>
    <xdr:clientData/>
  </xdr:twoCellAnchor>
  <xdr:twoCellAnchor>
    <xdr:from>
      <xdr:col>3</xdr:col>
      <xdr:colOff>620912</xdr:colOff>
      <xdr:row>6</xdr:row>
      <xdr:rowOff>115234</xdr:rowOff>
    </xdr:from>
    <xdr:to>
      <xdr:col>6</xdr:col>
      <xdr:colOff>11517</xdr:colOff>
      <xdr:row>8</xdr:row>
      <xdr:rowOff>20484</xdr:rowOff>
    </xdr:to>
    <xdr:sp macro="" textlink="'Sheet design'!A6">
      <xdr:nvSpPr>
        <xdr:cNvPr id="86" name="TextBox 85">
          <a:extLst>
            <a:ext uri="{FF2B5EF4-FFF2-40B4-BE49-F238E27FC236}">
              <a16:creationId xmlns:a16="http://schemas.microsoft.com/office/drawing/2014/main" id="{CD219CDB-A483-41ED-AACE-EC295EF2DFE2}"/>
            </a:ext>
          </a:extLst>
        </xdr:cNvPr>
        <xdr:cNvSpPr txBox="1"/>
      </xdr:nvSpPr>
      <xdr:spPr>
        <a:xfrm>
          <a:off x="2679541" y="1344266"/>
          <a:ext cx="1449234" cy="31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PANEL</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81936</xdr:colOff>
      <xdr:row>8</xdr:row>
      <xdr:rowOff>135716</xdr:rowOff>
    </xdr:from>
    <xdr:to>
      <xdr:col>6</xdr:col>
      <xdr:colOff>245807</xdr:colOff>
      <xdr:row>15</xdr:row>
      <xdr:rowOff>29307</xdr:rowOff>
    </xdr:to>
    <mc:AlternateContent xmlns:mc="http://schemas.openxmlformats.org/markup-compatibility/2006" xmlns:a14="http://schemas.microsoft.com/office/drawing/2010/main">
      <mc:Choice Requires="a14">
        <xdr:graphicFrame macro="">
          <xdr:nvGraphicFramePr>
            <xdr:cNvPr id="87" name="Outlet Size 1">
              <a:extLst>
                <a:ext uri="{FF2B5EF4-FFF2-40B4-BE49-F238E27FC236}">
                  <a16:creationId xmlns:a16="http://schemas.microsoft.com/office/drawing/2014/main" id="{BCB4C02B-8DA7-45FD-80A2-FDD99946095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23007" y="1708097"/>
              <a:ext cx="2204943" cy="1269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73269</xdr:colOff>
      <xdr:row>16</xdr:row>
      <xdr:rowOff>58614</xdr:rowOff>
    </xdr:from>
    <xdr:to>
      <xdr:col>6</xdr:col>
      <xdr:colOff>234461</xdr:colOff>
      <xdr:row>21</xdr:row>
      <xdr:rowOff>111836</xdr:rowOff>
    </xdr:to>
    <mc:AlternateContent xmlns:mc="http://schemas.openxmlformats.org/markup-compatibility/2006" xmlns:a14="http://schemas.microsoft.com/office/drawing/2010/main">
      <mc:Choice Requires="a14">
        <xdr:graphicFrame macro="">
          <xdr:nvGraphicFramePr>
            <xdr:cNvPr id="88" name="Outlet Location Type 1">
              <a:extLst>
                <a:ext uri="{FF2B5EF4-FFF2-40B4-BE49-F238E27FC236}">
                  <a16:creationId xmlns:a16="http://schemas.microsoft.com/office/drawing/2014/main" id="{E0F252EB-C894-4EFB-8D39-133D64ECC1D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14340" y="3203376"/>
              <a:ext cx="2202264" cy="1232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87923</xdr:colOff>
      <xdr:row>22</xdr:row>
      <xdr:rowOff>90179</xdr:rowOff>
    </xdr:from>
    <xdr:to>
      <xdr:col>6</xdr:col>
      <xdr:colOff>234461</xdr:colOff>
      <xdr:row>37</xdr:row>
      <xdr:rowOff>175845</xdr:rowOff>
    </xdr:to>
    <mc:AlternateContent xmlns:mc="http://schemas.openxmlformats.org/markup-compatibility/2006" xmlns:a14="http://schemas.microsoft.com/office/drawing/2010/main">
      <mc:Choice Requires="a14">
        <xdr:graphicFrame macro="">
          <xdr:nvGraphicFramePr>
            <xdr:cNvPr id="90" name="Item Type 1">
              <a:extLst>
                <a:ext uri="{FF2B5EF4-FFF2-40B4-BE49-F238E27FC236}">
                  <a16:creationId xmlns:a16="http://schemas.microsoft.com/office/drawing/2014/main" id="{4C609E2C-FE3B-4222-821F-72B0D2E9D59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28994" y="4610774"/>
              <a:ext cx="2187610" cy="3033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0.51701</cdr:x>
      <cdr:y>0.82745</cdr:y>
    </cdr:from>
    <cdr:to>
      <cdr:x>1</cdr:x>
      <cdr:y>1</cdr:y>
    </cdr:to>
    <cdr:sp macro="" textlink="">
      <cdr:nvSpPr>
        <cdr:cNvPr id="2" name="TextBox 81">
          <a:extLst xmlns:a="http://schemas.openxmlformats.org/drawingml/2006/main">
            <a:ext uri="{FF2B5EF4-FFF2-40B4-BE49-F238E27FC236}">
              <a16:creationId xmlns:a16="http://schemas.microsoft.com/office/drawing/2014/main" id="{F979D61D-6895-486D-B7CF-F0AC4C207095}"/>
            </a:ext>
          </a:extLst>
        </cdr:cNvPr>
        <cdr:cNvSpPr txBox="1"/>
      </cdr:nvSpPr>
      <cdr:spPr>
        <a:xfrm xmlns:a="http://schemas.openxmlformats.org/drawingml/2006/main">
          <a:off x="1616008" y="1353936"/>
          <a:ext cx="1509668" cy="28233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latin typeface="Segoe UI Semibold" panose="020B0702040204020203" pitchFamily="34" charset="0"/>
              <a:ea typeface="Segoe UI Black" panose="020B0A02040204020203" pitchFamily="34" charset="0"/>
              <a:cs typeface="Segoe UI Semibold" panose="020B0702040204020203" pitchFamily="34" charset="0"/>
            </a:rPr>
            <a:t>TOTAL SALES</a:t>
          </a:r>
        </a:p>
      </cdr:txBody>
    </cdr:sp>
  </cdr:relSizeAnchor>
</c:userShapes>
</file>

<file path=xl/drawings/drawing4.xml><?xml version="1.0" encoding="utf-8"?>
<c:userShapes xmlns:c="http://schemas.openxmlformats.org/drawingml/2006/chart">
  <cdr:relSizeAnchor xmlns:cdr="http://schemas.openxmlformats.org/drawingml/2006/chartDrawing">
    <cdr:from>
      <cdr:x>0.01858</cdr:x>
      <cdr:y>0.0305</cdr:y>
    </cdr:from>
    <cdr:to>
      <cdr:x>0.76634</cdr:x>
      <cdr:y>0.28473</cdr:y>
    </cdr:to>
    <cdr:sp macro="" textlink="">
      <cdr:nvSpPr>
        <cdr:cNvPr id="2" name="TextBox 81">
          <a:extLst xmlns:a="http://schemas.openxmlformats.org/drawingml/2006/main">
            <a:ext uri="{FF2B5EF4-FFF2-40B4-BE49-F238E27FC236}">
              <a16:creationId xmlns:a16="http://schemas.microsoft.com/office/drawing/2014/main" id="{F979D61D-6895-486D-B7CF-F0AC4C207095}"/>
            </a:ext>
          </a:extLst>
        </cdr:cNvPr>
        <cdr:cNvSpPr txBox="1"/>
      </cdr:nvSpPr>
      <cdr:spPr>
        <a:xfrm xmlns:a="http://schemas.openxmlformats.org/drawingml/2006/main">
          <a:off x="50800" y="50800"/>
          <a:ext cx="2044825" cy="42348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cdr:txBody>
    </cdr:sp>
  </cdr:relSizeAnchor>
  <cdr:relSizeAnchor xmlns:cdr="http://schemas.openxmlformats.org/drawingml/2006/chartDrawing">
    <cdr:from>
      <cdr:x>0.39274</cdr:x>
      <cdr:y>0.83164</cdr:y>
    </cdr:from>
    <cdr:to>
      <cdr:x>0.70485</cdr:x>
      <cdr:y>1</cdr:y>
    </cdr:to>
    <cdr:pic>
      <cdr:nvPicPr>
        <cdr:cNvPr id="3" name="chart">
          <a:extLst xmlns:a="http://schemas.openxmlformats.org/drawingml/2006/main">
            <a:ext uri="{FF2B5EF4-FFF2-40B4-BE49-F238E27FC236}">
              <a16:creationId xmlns:a16="http://schemas.microsoft.com/office/drawing/2014/main" id="{307FF685-24C4-0C93-7B5F-08F5EEEB017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26267" y="1482061"/>
          <a:ext cx="895070" cy="30003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334532870373" createdVersion="8" refreshedVersion="8" minRefreshableVersion="3" recordCount="8523" xr:uid="{D8AC060C-D111-4E25-AC30-56EA6723965C}">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0"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63503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n v="0"/>
    <n v="181.92920000000001"/>
    <n v="5"/>
  </r>
  <r>
    <x v="1"/>
    <n v="11"/>
    <s v="FDX21"/>
    <x v="6"/>
    <x v="7"/>
    <s v="OUT027"/>
    <x v="1"/>
    <x v="0"/>
    <x v="3"/>
    <n v="8.4554568999999996E-2"/>
    <n v="0"/>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n v="0"/>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n v="0"/>
    <n v="98.77"/>
    <n v="5"/>
  </r>
  <r>
    <x v="1"/>
    <n v="20"/>
    <s v="DRN47"/>
    <x v="9"/>
    <x v="1"/>
    <s v="OUT018"/>
    <x v="1"/>
    <x v="0"/>
    <x v="1"/>
    <n v="1.6895292999999999E-2"/>
    <n v="12.1"/>
    <n v="178.566"/>
    <n v="5"/>
  </r>
  <r>
    <x v="0"/>
    <n v="21"/>
    <s v="FDZ07"/>
    <x v="0"/>
    <x v="7"/>
    <s v="OUT027"/>
    <x v="1"/>
    <x v="0"/>
    <x v="3"/>
    <n v="0"/>
    <n v="0"/>
    <n v="60.2194"/>
    <n v="5"/>
  </r>
  <r>
    <x v="1"/>
    <n v="22"/>
    <s v="NCK31"/>
    <x v="10"/>
    <x v="7"/>
    <s v="OUT027"/>
    <x v="1"/>
    <x v="0"/>
    <x v="3"/>
    <n v="2.6916794000000001E-2"/>
    <n v="0"/>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n v="0"/>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n v="0"/>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n v="0"/>
    <n v="108.22799999999999"/>
    <n v="5"/>
  </r>
  <r>
    <x v="1"/>
    <n v="93"/>
    <s v="FDK02"/>
    <x v="3"/>
    <x v="7"/>
    <s v="OUT019"/>
    <x v="0"/>
    <x v="1"/>
    <x v="2"/>
    <n v="0.196490902"/>
    <n v="0"/>
    <n v="120.544"/>
    <n v="5"/>
  </r>
  <r>
    <x v="1"/>
    <n v="94"/>
    <s v="FDI15"/>
    <x v="11"/>
    <x v="7"/>
    <s v="OUT019"/>
    <x v="0"/>
    <x v="1"/>
    <x v="2"/>
    <n v="0.24749009"/>
    <n v="0"/>
    <n v="263.1884"/>
    <n v="5"/>
  </r>
  <r>
    <x v="1"/>
    <n v="95"/>
    <s v="FDE09"/>
    <x v="0"/>
    <x v="7"/>
    <s v="OUT019"/>
    <x v="0"/>
    <x v="1"/>
    <x v="2"/>
    <n v="3.7824734999999998E-2"/>
    <n v="0"/>
    <n v="109.72280000000001"/>
    <n v="5"/>
  </r>
  <r>
    <x v="1"/>
    <n v="96"/>
    <s v="FDS55"/>
    <x v="0"/>
    <x v="7"/>
    <s v="OUT019"/>
    <x v="0"/>
    <x v="1"/>
    <x v="2"/>
    <n v="0.14210799800000001"/>
    <n v="0"/>
    <n v="150.3734"/>
    <n v="5"/>
  </r>
  <r>
    <x v="1"/>
    <n v="97"/>
    <s v="FDZ56"/>
    <x v="0"/>
    <x v="7"/>
    <s v="OUT019"/>
    <x v="0"/>
    <x v="1"/>
    <x v="2"/>
    <n v="4.5062129999999999E-2"/>
    <n v="0"/>
    <n v="167.54740000000001"/>
    <n v="5"/>
  </r>
  <r>
    <x v="1"/>
    <n v="98"/>
    <s v="NCA05"/>
    <x v="1"/>
    <x v="7"/>
    <s v="OUT019"/>
    <x v="0"/>
    <x v="1"/>
    <x v="2"/>
    <n v="4.4000492000000002E-2"/>
    <n v="0"/>
    <n v="148.27340000000001"/>
    <n v="5"/>
  </r>
  <r>
    <x v="1"/>
    <n v="99"/>
    <s v="NCK29"/>
    <x v="1"/>
    <x v="7"/>
    <s v="OUT019"/>
    <x v="0"/>
    <x v="1"/>
    <x v="2"/>
    <n v="0"/>
    <n v="0"/>
    <n v="123.473"/>
    <n v="5"/>
  </r>
  <r>
    <x v="1"/>
    <n v="100"/>
    <s v="NCU29"/>
    <x v="1"/>
    <x v="7"/>
    <s v="OUT019"/>
    <x v="0"/>
    <x v="1"/>
    <x v="2"/>
    <n v="4.4607722000000002E-2"/>
    <n v="0"/>
    <n v="145.976"/>
    <n v="5"/>
  </r>
  <r>
    <x v="1"/>
    <n v="101"/>
    <s v="NCX41"/>
    <x v="1"/>
    <x v="7"/>
    <s v="OUT019"/>
    <x v="0"/>
    <x v="1"/>
    <x v="2"/>
    <n v="3.1024168000000001E-2"/>
    <n v="0"/>
    <n v="210.52440000000001"/>
    <n v="5"/>
  </r>
  <r>
    <x v="1"/>
    <n v="102"/>
    <s v="NCG07"/>
    <x v="5"/>
    <x v="7"/>
    <s v="OUT019"/>
    <x v="0"/>
    <x v="1"/>
    <x v="2"/>
    <n v="9.1924310999999995E-2"/>
    <n v="0"/>
    <n v="189.75299999999999"/>
    <n v="5"/>
  </r>
  <r>
    <x v="1"/>
    <n v="103"/>
    <s v="NCI30"/>
    <x v="5"/>
    <x v="7"/>
    <s v="OUT019"/>
    <x v="0"/>
    <x v="1"/>
    <x v="2"/>
    <n v="0.10318849099999999"/>
    <n v="0"/>
    <n v="244.346"/>
    <n v="5"/>
  </r>
  <r>
    <x v="1"/>
    <n v="104"/>
    <s v="NCR54"/>
    <x v="5"/>
    <x v="7"/>
    <s v="OUT019"/>
    <x v="0"/>
    <x v="1"/>
    <x v="2"/>
    <n v="0.158562708"/>
    <n v="0"/>
    <n v="194.71100000000001"/>
    <n v="5"/>
  </r>
  <r>
    <x v="1"/>
    <n v="105"/>
    <s v="NCT06"/>
    <x v="5"/>
    <x v="7"/>
    <s v="OUT019"/>
    <x v="0"/>
    <x v="1"/>
    <x v="2"/>
    <n v="6.7824456000000005E-2"/>
    <n v="0"/>
    <n v="167.7842"/>
    <n v="5"/>
  </r>
  <r>
    <x v="1"/>
    <n v="106"/>
    <s v="FDN15"/>
    <x v="7"/>
    <x v="7"/>
    <s v="OUT019"/>
    <x v="0"/>
    <x v="1"/>
    <x v="2"/>
    <n v="2.9299175E-2"/>
    <n v="0"/>
    <n v="140.31800000000001"/>
    <n v="5"/>
  </r>
  <r>
    <x v="1"/>
    <n v="107"/>
    <s v="FDJ45"/>
    <x v="14"/>
    <x v="7"/>
    <s v="OUT019"/>
    <x v="0"/>
    <x v="1"/>
    <x v="2"/>
    <n v="0.12853255799999999"/>
    <n v="0"/>
    <n v="34.221600000000002"/>
    <n v="5"/>
  </r>
  <r>
    <x v="0"/>
    <n v="108"/>
    <s v="FDL13"/>
    <x v="12"/>
    <x v="7"/>
    <s v="OUT019"/>
    <x v="0"/>
    <x v="1"/>
    <x v="2"/>
    <n v="9.8606543000000005E-2"/>
    <n v="0"/>
    <n v="232.73"/>
    <n v="5"/>
  </r>
  <r>
    <x v="0"/>
    <n v="109"/>
    <s v="FDL02"/>
    <x v="3"/>
    <x v="7"/>
    <s v="OUT019"/>
    <x v="0"/>
    <x v="1"/>
    <x v="2"/>
    <n v="0.18223655499999999"/>
    <n v="0"/>
    <n v="107.1622"/>
    <n v="5"/>
  </r>
  <r>
    <x v="0"/>
    <n v="110"/>
    <s v="FDF56"/>
    <x v="0"/>
    <x v="7"/>
    <s v="OUT019"/>
    <x v="0"/>
    <x v="1"/>
    <x v="2"/>
    <n v="0.20916293599999999"/>
    <n v="0"/>
    <n v="179.19759999999999"/>
    <n v="5"/>
  </r>
  <r>
    <x v="0"/>
    <n v="111"/>
    <s v="FDQ27"/>
    <x v="7"/>
    <x v="7"/>
    <s v="OUT019"/>
    <x v="0"/>
    <x v="1"/>
    <x v="2"/>
    <n v="7.7480626999999996E-2"/>
    <n v="0"/>
    <n v="101.399"/>
    <n v="5"/>
  </r>
  <r>
    <x v="0"/>
    <n v="112"/>
    <s v="FDG35"/>
    <x v="15"/>
    <x v="7"/>
    <s v="OUT019"/>
    <x v="0"/>
    <x v="1"/>
    <x v="2"/>
    <n v="1.2327846999999999E-2"/>
    <n v="0"/>
    <n v="173.87379999999999"/>
    <n v="5"/>
  </r>
  <r>
    <x v="0"/>
    <n v="113"/>
    <s v="FDD38"/>
    <x v="3"/>
    <x v="7"/>
    <s v="OUT019"/>
    <x v="0"/>
    <x v="1"/>
    <x v="2"/>
    <n v="1.4342659000000001E-2"/>
    <n v="0"/>
    <n v="103.76739999999999"/>
    <n v="5"/>
  </r>
  <r>
    <x v="0"/>
    <n v="114"/>
    <s v="FDE41"/>
    <x v="2"/>
    <x v="7"/>
    <s v="OUT019"/>
    <x v="0"/>
    <x v="1"/>
    <x v="2"/>
    <n v="0"/>
    <n v="0"/>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n v="0"/>
    <n v="139.24959999999999"/>
    <n v="5"/>
  </r>
  <r>
    <x v="1"/>
    <n v="395"/>
    <s v="FDU25"/>
    <x v="3"/>
    <x v="7"/>
    <s v="OUT027"/>
    <x v="1"/>
    <x v="0"/>
    <x v="3"/>
    <n v="2.6552056000000001E-2"/>
    <n v="0"/>
    <n v="56.224600000000002"/>
    <n v="5"/>
  </r>
  <r>
    <x v="1"/>
    <n v="396"/>
    <s v="FDC53"/>
    <x v="2"/>
    <x v="7"/>
    <s v="OUT027"/>
    <x v="1"/>
    <x v="0"/>
    <x v="3"/>
    <n v="8.7929070000000008E-3"/>
    <n v="0"/>
    <n v="96.738399999999999"/>
    <n v="5"/>
  </r>
  <r>
    <x v="1"/>
    <n v="397"/>
    <s v="FDD28"/>
    <x v="2"/>
    <x v="7"/>
    <s v="OUT027"/>
    <x v="1"/>
    <x v="0"/>
    <x v="3"/>
    <n v="5.3038775000000003E-2"/>
    <n v="0"/>
    <n v="59.590400000000002"/>
    <n v="5"/>
  </r>
  <r>
    <x v="1"/>
    <n v="398"/>
    <s v="FDO40"/>
    <x v="2"/>
    <x v="7"/>
    <s v="OUT027"/>
    <x v="1"/>
    <x v="0"/>
    <x v="3"/>
    <n v="3.2470107999999998E-2"/>
    <n v="0"/>
    <n v="148.9392"/>
    <n v="5"/>
  </r>
  <r>
    <x v="1"/>
    <n v="399"/>
    <s v="FDT40"/>
    <x v="2"/>
    <x v="7"/>
    <s v="OUT027"/>
    <x v="1"/>
    <x v="0"/>
    <x v="3"/>
    <n v="9.5331432999999993E-2"/>
    <n v="0"/>
    <n v="125.56780000000001"/>
    <n v="5"/>
  </r>
  <r>
    <x v="1"/>
    <n v="400"/>
    <s v="FDD33"/>
    <x v="0"/>
    <x v="7"/>
    <s v="OUT027"/>
    <x v="1"/>
    <x v="0"/>
    <x v="3"/>
    <n v="0"/>
    <n v="0"/>
    <n v="231.96420000000001"/>
    <n v="5"/>
  </r>
  <r>
    <x v="1"/>
    <n v="401"/>
    <s v="FDW20"/>
    <x v="0"/>
    <x v="7"/>
    <s v="OUT027"/>
    <x v="1"/>
    <x v="0"/>
    <x v="3"/>
    <n v="2.4032484E-2"/>
    <n v="0"/>
    <n v="124.973"/>
    <n v="5"/>
  </r>
  <r>
    <x v="1"/>
    <n v="402"/>
    <s v="DRN47"/>
    <x v="9"/>
    <x v="7"/>
    <s v="OUT027"/>
    <x v="1"/>
    <x v="0"/>
    <x v="3"/>
    <n v="1.6745263999999999E-2"/>
    <n v="0"/>
    <n v="180.76599999999999"/>
    <n v="5"/>
  </r>
  <r>
    <x v="1"/>
    <n v="403"/>
    <s v="NCY53"/>
    <x v="1"/>
    <x v="7"/>
    <s v="OUT027"/>
    <x v="1"/>
    <x v="0"/>
    <x v="3"/>
    <n v="5.8198141000000002E-2"/>
    <n v="0"/>
    <n v="110.45440000000001"/>
    <n v="5"/>
  </r>
  <r>
    <x v="1"/>
    <n v="404"/>
    <s v="NCE19"/>
    <x v="5"/>
    <x v="7"/>
    <s v="OUT027"/>
    <x v="1"/>
    <x v="0"/>
    <x v="3"/>
    <n v="9.2564193000000003E-2"/>
    <n v="0"/>
    <n v="53.495600000000003"/>
    <n v="5"/>
  </r>
  <r>
    <x v="1"/>
    <n v="405"/>
    <s v="NCE55"/>
    <x v="5"/>
    <x v="7"/>
    <s v="OUT027"/>
    <x v="1"/>
    <x v="0"/>
    <x v="3"/>
    <n v="0.12929931"/>
    <n v="0"/>
    <n v="178.23699999999999"/>
    <n v="5"/>
  </r>
  <r>
    <x v="1"/>
    <n v="406"/>
    <s v="NCG43"/>
    <x v="5"/>
    <x v="7"/>
    <s v="OUT027"/>
    <x v="1"/>
    <x v="0"/>
    <x v="3"/>
    <n v="7.3879939000000006E-2"/>
    <n v="0"/>
    <n v="94.046199999999999"/>
    <n v="5"/>
  </r>
  <r>
    <x v="1"/>
    <n v="407"/>
    <s v="NCH06"/>
    <x v="5"/>
    <x v="7"/>
    <s v="OUT027"/>
    <x v="1"/>
    <x v="0"/>
    <x v="3"/>
    <n v="7.6183666999999997E-2"/>
    <n v="0"/>
    <n v="245.64599999999999"/>
    <n v="5"/>
  </r>
  <r>
    <x v="1"/>
    <n v="408"/>
    <s v="NCM30"/>
    <x v="5"/>
    <x v="7"/>
    <s v="OUT027"/>
    <x v="1"/>
    <x v="0"/>
    <x v="3"/>
    <n v="6.6969525000000002E-2"/>
    <n v="0"/>
    <n v="39.279600000000002"/>
    <n v="5"/>
  </r>
  <r>
    <x v="1"/>
    <n v="409"/>
    <s v="NCN42"/>
    <x v="5"/>
    <x v="7"/>
    <s v="OUT027"/>
    <x v="1"/>
    <x v="0"/>
    <x v="3"/>
    <n v="1.4153743E-2"/>
    <n v="0"/>
    <n v="145.64179999999999"/>
    <n v="5"/>
  </r>
  <r>
    <x v="1"/>
    <n v="410"/>
    <s v="NCU42"/>
    <x v="5"/>
    <x v="7"/>
    <s v="OUT027"/>
    <x v="1"/>
    <x v="0"/>
    <x v="3"/>
    <n v="1.9412192000000002E-2"/>
    <n v="0"/>
    <n v="166.54740000000001"/>
    <n v="5"/>
  </r>
  <r>
    <x v="1"/>
    <n v="411"/>
    <s v="NCJ19"/>
    <x v="10"/>
    <x v="7"/>
    <s v="OUT027"/>
    <x v="1"/>
    <x v="0"/>
    <x v="3"/>
    <n v="0.117607719"/>
    <n v="0"/>
    <n v="55.258800000000001"/>
    <n v="5"/>
  </r>
  <r>
    <x v="1"/>
    <n v="412"/>
    <s v="FDD46"/>
    <x v="6"/>
    <x v="7"/>
    <s v="OUT027"/>
    <x v="1"/>
    <x v="0"/>
    <x v="3"/>
    <n v="0.14057197099999999"/>
    <n v="0"/>
    <n v="154.7998"/>
    <n v="5"/>
  </r>
  <r>
    <x v="1"/>
    <n v="413"/>
    <s v="FDL33"/>
    <x v="6"/>
    <x v="7"/>
    <s v="OUT027"/>
    <x v="1"/>
    <x v="0"/>
    <x v="3"/>
    <n v="9.9478450999999996E-2"/>
    <n v="0"/>
    <n v="194.4452"/>
    <n v="5"/>
  </r>
  <r>
    <x v="1"/>
    <n v="414"/>
    <s v="FDP09"/>
    <x v="6"/>
    <x v="7"/>
    <s v="OUT027"/>
    <x v="1"/>
    <x v="0"/>
    <x v="3"/>
    <n v="3.3725743000000002E-2"/>
    <n v="0"/>
    <n v="211.6902"/>
    <n v="5"/>
  </r>
  <r>
    <x v="1"/>
    <n v="415"/>
    <s v="DRL37"/>
    <x v="4"/>
    <x v="7"/>
    <s v="OUT027"/>
    <x v="1"/>
    <x v="0"/>
    <x v="3"/>
    <n v="5.3113721000000003E-2"/>
    <n v="0"/>
    <n v="44.377000000000002"/>
    <n v="5"/>
  </r>
  <r>
    <x v="0"/>
    <n v="416"/>
    <s v="FDE36"/>
    <x v="13"/>
    <x v="7"/>
    <s v="OUT027"/>
    <x v="1"/>
    <x v="0"/>
    <x v="3"/>
    <n v="0"/>
    <n v="0"/>
    <n v="165.58680000000001"/>
    <n v="5"/>
  </r>
  <r>
    <x v="0"/>
    <n v="417"/>
    <s v="FDG12"/>
    <x v="13"/>
    <x v="7"/>
    <s v="OUT027"/>
    <x v="1"/>
    <x v="0"/>
    <x v="3"/>
    <n v="6.2954719999999999E-3"/>
    <n v="0"/>
    <n v="122.4098"/>
    <n v="5"/>
  </r>
  <r>
    <x v="0"/>
    <n v="418"/>
    <s v="FDU24"/>
    <x v="13"/>
    <x v="7"/>
    <s v="OUT027"/>
    <x v="1"/>
    <x v="0"/>
    <x v="3"/>
    <n v="0.13948429200000001"/>
    <n v="0"/>
    <n v="94.311999999999998"/>
    <n v="5"/>
  </r>
  <r>
    <x v="0"/>
    <n v="419"/>
    <s v="FDK25"/>
    <x v="12"/>
    <x v="7"/>
    <s v="OUT027"/>
    <x v="1"/>
    <x v="0"/>
    <x v="3"/>
    <n v="0.15607236099999999"/>
    <n v="0"/>
    <n v="169.34739999999999"/>
    <n v="5"/>
  </r>
  <r>
    <x v="0"/>
    <n v="420"/>
    <s v="FDB14"/>
    <x v="3"/>
    <x v="7"/>
    <s v="OUT027"/>
    <x v="1"/>
    <x v="0"/>
    <x v="3"/>
    <n v="0.102226474"/>
    <n v="0"/>
    <n v="91.311999999999998"/>
    <n v="5"/>
  </r>
  <r>
    <x v="0"/>
    <n v="421"/>
    <s v="FDH50"/>
    <x v="3"/>
    <x v="7"/>
    <s v="OUT027"/>
    <x v="1"/>
    <x v="0"/>
    <x v="3"/>
    <n v="0.16065368199999999"/>
    <n v="0"/>
    <n v="185.22659999999999"/>
    <n v="5"/>
  </r>
  <r>
    <x v="0"/>
    <n v="422"/>
    <s v="FDZ02"/>
    <x v="11"/>
    <x v="7"/>
    <s v="OUT027"/>
    <x v="1"/>
    <x v="0"/>
    <x v="3"/>
    <n v="3.7962695999999997E-2"/>
    <n v="0"/>
    <n v="97.572599999999994"/>
    <n v="5"/>
  </r>
  <r>
    <x v="0"/>
    <n v="423"/>
    <s v="FDH05"/>
    <x v="2"/>
    <x v="7"/>
    <s v="OUT027"/>
    <x v="1"/>
    <x v="0"/>
    <x v="3"/>
    <n v="9.0473389000000001E-2"/>
    <n v="0"/>
    <n v="229.79839999999999"/>
    <n v="5"/>
  </r>
  <r>
    <x v="0"/>
    <n v="424"/>
    <s v="FDT19"/>
    <x v="0"/>
    <x v="7"/>
    <s v="OUT027"/>
    <x v="1"/>
    <x v="0"/>
    <x v="3"/>
    <n v="0.14433849300000001"/>
    <n v="0"/>
    <n v="172.108"/>
    <n v="5"/>
  </r>
  <r>
    <x v="0"/>
    <n v="425"/>
    <s v="FDW19"/>
    <x v="0"/>
    <x v="7"/>
    <s v="OUT027"/>
    <x v="1"/>
    <x v="0"/>
    <x v="3"/>
    <n v="3.8313980999999997E-2"/>
    <n v="0"/>
    <n v="109.95699999999999"/>
    <n v="5"/>
  </r>
  <r>
    <x v="0"/>
    <n v="426"/>
    <s v="FDR51"/>
    <x v="7"/>
    <x v="7"/>
    <s v="OUT027"/>
    <x v="1"/>
    <x v="0"/>
    <x v="3"/>
    <n v="0.17262968300000001"/>
    <n v="0"/>
    <n v="148.4708"/>
    <n v="5"/>
  </r>
  <r>
    <x v="0"/>
    <n v="427"/>
    <s v="FDY34"/>
    <x v="6"/>
    <x v="7"/>
    <s v="OUT027"/>
    <x v="1"/>
    <x v="0"/>
    <x v="3"/>
    <n v="1.0928678000000001E-2"/>
    <n v="0"/>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n v="0"/>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n v="0"/>
    <n v="194.74520000000001"/>
    <n v="4.9000000000000004"/>
  </r>
  <r>
    <x v="1"/>
    <n v="442"/>
    <s v="NCL53"/>
    <x v="1"/>
    <x v="7"/>
    <s v="OUT027"/>
    <x v="1"/>
    <x v="0"/>
    <x v="3"/>
    <n v="0"/>
    <n v="0"/>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n v="0"/>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n v="0"/>
    <n v="213.55340000000001"/>
    <n v="4.8"/>
  </r>
  <r>
    <x v="1"/>
    <n v="459"/>
    <s v="FDQ12"/>
    <x v="13"/>
    <x v="7"/>
    <s v="OUT019"/>
    <x v="0"/>
    <x v="1"/>
    <x v="2"/>
    <n v="6.1999647999999997E-2"/>
    <n v="0"/>
    <n v="230.001"/>
    <n v="4.8"/>
  </r>
  <r>
    <x v="1"/>
    <n v="460"/>
    <s v="FDZ27"/>
    <x v="11"/>
    <x v="7"/>
    <s v="OUT019"/>
    <x v="0"/>
    <x v="1"/>
    <x v="2"/>
    <n v="0"/>
    <n v="0"/>
    <n v="51.234999999999999"/>
    <n v="4.8"/>
  </r>
  <r>
    <x v="1"/>
    <n v="461"/>
    <s v="FDI22"/>
    <x v="6"/>
    <x v="7"/>
    <s v="OUT019"/>
    <x v="0"/>
    <x v="1"/>
    <x v="2"/>
    <n v="0.16845554900000001"/>
    <n v="0"/>
    <n v="211.06120000000001"/>
    <n v="4.8"/>
  </r>
  <r>
    <x v="0"/>
    <n v="462"/>
    <s v="FDW02"/>
    <x v="11"/>
    <x v="7"/>
    <s v="OUT019"/>
    <x v="0"/>
    <x v="1"/>
    <x v="2"/>
    <n v="6.6006824000000006E-2"/>
    <n v="0"/>
    <n v="126.2704"/>
    <n v="4.8"/>
  </r>
  <r>
    <x v="0"/>
    <n v="463"/>
    <s v="FDR15"/>
    <x v="7"/>
    <x v="7"/>
    <s v="OUT019"/>
    <x v="0"/>
    <x v="1"/>
    <x v="2"/>
    <n v="5.8545606E-2"/>
    <n v="0"/>
    <n v="155.8314"/>
    <n v="4.8"/>
  </r>
  <r>
    <x v="0"/>
    <n v="464"/>
    <s v="FDN34"/>
    <x v="6"/>
    <x v="7"/>
    <s v="OUT019"/>
    <x v="0"/>
    <x v="1"/>
    <x v="2"/>
    <n v="8.0127282999999994E-2"/>
    <n v="0"/>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n v="0"/>
    <n v="152.8682"/>
    <n v="4.8"/>
  </r>
  <r>
    <x v="0"/>
    <n v="503"/>
    <s v="FDO03"/>
    <x v="7"/>
    <x v="7"/>
    <s v="OUT027"/>
    <x v="1"/>
    <x v="0"/>
    <x v="3"/>
    <n v="3.670437E-2"/>
    <n v="0"/>
    <n v="228.1352"/>
    <n v="4.8"/>
  </r>
  <r>
    <x v="0"/>
    <n v="504"/>
    <s v="FDC59"/>
    <x v="15"/>
    <x v="7"/>
    <s v="OUT027"/>
    <x v="1"/>
    <x v="0"/>
    <x v="3"/>
    <n v="5.436436E-2"/>
    <n v="0"/>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n v="0"/>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n v="0"/>
    <n v="89.585599999999999"/>
    <n v="4.7"/>
  </r>
  <r>
    <x v="1"/>
    <n v="523"/>
    <s v="FDQ10"/>
    <x v="6"/>
    <x v="7"/>
    <s v="OUT019"/>
    <x v="0"/>
    <x v="1"/>
    <x v="2"/>
    <n v="5.8092550999999999E-2"/>
    <n v="0"/>
    <n v="172.04220000000001"/>
    <n v="4.7"/>
  </r>
  <r>
    <x v="0"/>
    <n v="524"/>
    <s v="FDH52"/>
    <x v="2"/>
    <x v="7"/>
    <s v="OUT019"/>
    <x v="0"/>
    <x v="1"/>
    <x v="2"/>
    <n v="7.6868664000000003E-2"/>
    <n v="0"/>
    <n v="62.119399999999999"/>
    <n v="4.7"/>
  </r>
  <r>
    <x v="0"/>
    <n v="525"/>
    <s v="FDC10"/>
    <x v="6"/>
    <x v="7"/>
    <s v="OUT019"/>
    <x v="0"/>
    <x v="1"/>
    <x v="2"/>
    <n v="0.127599399"/>
    <n v="0"/>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n v="0"/>
    <n v="45.474400000000003"/>
    <n v="4.7"/>
  </r>
  <r>
    <x v="1"/>
    <n v="579"/>
    <s v="FDW49"/>
    <x v="3"/>
    <x v="7"/>
    <s v="OUT027"/>
    <x v="1"/>
    <x v="0"/>
    <x v="3"/>
    <n v="8.2152451000000001E-2"/>
    <n v="0"/>
    <n v="179.90020000000001"/>
    <n v="4.7"/>
  </r>
  <r>
    <x v="1"/>
    <n v="580"/>
    <s v="NCW53"/>
    <x v="1"/>
    <x v="7"/>
    <s v="OUT027"/>
    <x v="1"/>
    <x v="0"/>
    <x v="3"/>
    <n v="3.0347404000000001E-2"/>
    <n v="0"/>
    <n v="192.5162"/>
    <n v="4.7"/>
  </r>
  <r>
    <x v="1"/>
    <n v="581"/>
    <s v="NCB18"/>
    <x v="5"/>
    <x v="7"/>
    <s v="OUT027"/>
    <x v="1"/>
    <x v="0"/>
    <x v="3"/>
    <n v="4.1091215E-2"/>
    <n v="0"/>
    <n v="89.551400000000001"/>
    <n v="4.7"/>
  </r>
  <r>
    <x v="1"/>
    <n v="582"/>
    <s v="DRD13"/>
    <x v="4"/>
    <x v="7"/>
    <s v="OUT027"/>
    <x v="1"/>
    <x v="0"/>
    <x v="3"/>
    <n v="4.8841794000000001E-2"/>
    <n v="0"/>
    <n v="64.716800000000006"/>
    <n v="4.7"/>
  </r>
  <r>
    <x v="1"/>
    <n v="583"/>
    <s v="DRF01"/>
    <x v="4"/>
    <x v="7"/>
    <s v="OUT027"/>
    <x v="1"/>
    <x v="0"/>
    <x v="3"/>
    <n v="0.17423237699999999"/>
    <n v="0"/>
    <n v="146.61019999999999"/>
    <n v="4.7"/>
  </r>
  <r>
    <x v="1"/>
    <n v="584"/>
    <s v="FDN48"/>
    <x v="13"/>
    <x v="7"/>
    <s v="OUT019"/>
    <x v="0"/>
    <x v="1"/>
    <x v="2"/>
    <n v="0.113720344"/>
    <n v="0"/>
    <n v="89.980400000000003"/>
    <n v="4.5999999999999996"/>
  </r>
  <r>
    <x v="0"/>
    <n v="585"/>
    <s v="FDQ49"/>
    <x v="12"/>
    <x v="7"/>
    <s v="OUT027"/>
    <x v="1"/>
    <x v="0"/>
    <x v="3"/>
    <n v="3.9057676999999999E-2"/>
    <n v="0"/>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n v="0"/>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n v="0"/>
    <n v="220.47720000000001"/>
    <n v="4.5999999999999996"/>
  </r>
  <r>
    <x v="0"/>
    <n v="600"/>
    <s v="FDB35"/>
    <x v="15"/>
    <x v="7"/>
    <s v="OUT019"/>
    <x v="0"/>
    <x v="1"/>
    <x v="2"/>
    <n v="0.113139486"/>
    <n v="0"/>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n v="0"/>
    <n v="93.609399999999994"/>
    <n v="4.5999999999999996"/>
  </r>
  <r>
    <x v="1"/>
    <n v="677"/>
    <s v="FDM03"/>
    <x v="7"/>
    <x v="7"/>
    <s v="OUT027"/>
    <x v="1"/>
    <x v="0"/>
    <x v="3"/>
    <n v="0"/>
    <n v="0"/>
    <n v="109.1938"/>
    <n v="4.5999999999999996"/>
  </r>
  <r>
    <x v="1"/>
    <n v="678"/>
    <s v="FDX15"/>
    <x v="7"/>
    <x v="7"/>
    <s v="OUT027"/>
    <x v="1"/>
    <x v="0"/>
    <x v="3"/>
    <n v="0.155541973"/>
    <n v="0"/>
    <n v="159.7578"/>
    <n v="4.5999999999999996"/>
  </r>
  <r>
    <x v="1"/>
    <n v="679"/>
    <s v="FDA10"/>
    <x v="6"/>
    <x v="7"/>
    <s v="OUT027"/>
    <x v="1"/>
    <x v="0"/>
    <x v="3"/>
    <n v="0.141129263"/>
    <n v="0"/>
    <n v="121.60720000000001"/>
    <n v="4.5999999999999996"/>
  </r>
  <r>
    <x v="0"/>
    <n v="680"/>
    <s v="FDE56"/>
    <x v="0"/>
    <x v="7"/>
    <s v="OUT027"/>
    <x v="1"/>
    <x v="0"/>
    <x v="3"/>
    <n v="0.15842451599999999"/>
    <n v="0"/>
    <n v="62.419400000000003"/>
    <n v="4.5999999999999996"/>
  </r>
  <r>
    <x v="0"/>
    <n v="681"/>
    <s v="FDS31"/>
    <x v="0"/>
    <x v="7"/>
    <s v="OUT027"/>
    <x v="1"/>
    <x v="0"/>
    <x v="3"/>
    <n v="4.3978369000000003E-2"/>
    <n v="0"/>
    <n v="178.43180000000001"/>
    <n v="4.5999999999999996"/>
  </r>
  <r>
    <x v="0"/>
    <n v="682"/>
    <s v="FDW39"/>
    <x v="7"/>
    <x v="7"/>
    <s v="OUT027"/>
    <x v="1"/>
    <x v="0"/>
    <x v="3"/>
    <n v="3.6731658E-2"/>
    <n v="0"/>
    <n v="177.23699999999999"/>
    <n v="4.5999999999999996"/>
  </r>
  <r>
    <x v="0"/>
    <n v="683"/>
    <s v="FDY39"/>
    <x v="7"/>
    <x v="7"/>
    <s v="OUT027"/>
    <x v="1"/>
    <x v="0"/>
    <x v="3"/>
    <n v="0"/>
    <n v="0"/>
    <n v="182.0608"/>
    <n v="4.5999999999999996"/>
  </r>
  <r>
    <x v="1"/>
    <n v="684"/>
    <s v="NCQ53"/>
    <x v="1"/>
    <x v="7"/>
    <s v="OUT027"/>
    <x v="1"/>
    <x v="0"/>
    <x v="3"/>
    <n v="1.8813776000000001E-2"/>
    <n v="0"/>
    <n v="235.25899999999999"/>
    <n v="4.5999999999999996"/>
  </r>
  <r>
    <x v="0"/>
    <n v="685"/>
    <s v="FDG35"/>
    <x v="15"/>
    <x v="7"/>
    <s v="OUT027"/>
    <x v="1"/>
    <x v="0"/>
    <x v="3"/>
    <n v="7.0068830000000002E-3"/>
    <n v="0"/>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n v="0"/>
    <n v="164.51840000000001"/>
    <n v="4.5"/>
  </r>
  <r>
    <x v="1"/>
    <n v="698"/>
    <s v="NCS54"/>
    <x v="5"/>
    <x v="3"/>
    <s v="OUT013"/>
    <x v="1"/>
    <x v="2"/>
    <x v="0"/>
    <n v="9.9848469999999998E-3"/>
    <n v="13.6"/>
    <n v="175.43700000000001"/>
    <n v="4.5"/>
  </r>
  <r>
    <x v="1"/>
    <n v="699"/>
    <s v="NCJ54"/>
    <x v="5"/>
    <x v="7"/>
    <s v="OUT027"/>
    <x v="1"/>
    <x v="0"/>
    <x v="3"/>
    <n v="5.9776237000000003E-2"/>
    <n v="0"/>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n v="0"/>
    <n v="233.16419999999999"/>
    <n v="4.5"/>
  </r>
  <r>
    <x v="1"/>
    <n v="746"/>
    <s v="FDY32"/>
    <x v="0"/>
    <x v="7"/>
    <s v="OUT019"/>
    <x v="0"/>
    <x v="1"/>
    <x v="2"/>
    <n v="0.22628438100000001"/>
    <n v="0"/>
    <n v="163.221"/>
    <n v="4.5"/>
  </r>
  <r>
    <x v="1"/>
    <n v="747"/>
    <s v="NCG43"/>
    <x v="5"/>
    <x v="7"/>
    <s v="OUT019"/>
    <x v="0"/>
    <x v="1"/>
    <x v="2"/>
    <n v="0.12998368799999999"/>
    <n v="0"/>
    <n v="93.046199999999999"/>
    <n v="4.5"/>
  </r>
  <r>
    <x v="1"/>
    <n v="748"/>
    <s v="NCO30"/>
    <x v="5"/>
    <x v="7"/>
    <s v="OUT019"/>
    <x v="0"/>
    <x v="1"/>
    <x v="2"/>
    <n v="2.7532258E-2"/>
    <n v="0"/>
    <n v="185.0608"/>
    <n v="4.5"/>
  </r>
  <r>
    <x v="1"/>
    <n v="749"/>
    <s v="NCQ06"/>
    <x v="5"/>
    <x v="7"/>
    <s v="OUT019"/>
    <x v="0"/>
    <x v="1"/>
    <x v="2"/>
    <n v="7.3229342000000003E-2"/>
    <n v="0"/>
    <n v="254.10140000000001"/>
    <n v="4.5"/>
  </r>
  <r>
    <x v="1"/>
    <n v="750"/>
    <s v="NCV06"/>
    <x v="5"/>
    <x v="7"/>
    <s v="OUT019"/>
    <x v="0"/>
    <x v="1"/>
    <x v="2"/>
    <n v="0.116750407"/>
    <n v="0"/>
    <n v="195.24780000000001"/>
    <n v="4.5"/>
  </r>
  <r>
    <x v="1"/>
    <n v="751"/>
    <s v="NCZ54"/>
    <x v="5"/>
    <x v="7"/>
    <s v="OUT019"/>
    <x v="0"/>
    <x v="1"/>
    <x v="2"/>
    <n v="0.14595153299999999"/>
    <n v="0"/>
    <n v="160.95519999999999"/>
    <n v="4.5"/>
  </r>
  <r>
    <x v="1"/>
    <n v="752"/>
    <s v="NCP50"/>
    <x v="10"/>
    <x v="7"/>
    <s v="OUT019"/>
    <x v="0"/>
    <x v="1"/>
    <x v="2"/>
    <n v="3.5997636E-2"/>
    <n v="0"/>
    <n v="78.661799999999999"/>
    <n v="4.5"/>
  </r>
  <r>
    <x v="1"/>
    <n v="753"/>
    <s v="FDF46"/>
    <x v="6"/>
    <x v="7"/>
    <s v="OUT019"/>
    <x v="0"/>
    <x v="1"/>
    <x v="2"/>
    <n v="0.164006137"/>
    <n v="0"/>
    <n v="113.2834"/>
    <n v="4.5"/>
  </r>
  <r>
    <x v="1"/>
    <n v="754"/>
    <s v="FDR33"/>
    <x v="6"/>
    <x v="7"/>
    <s v="OUT019"/>
    <x v="0"/>
    <x v="1"/>
    <x v="2"/>
    <n v="4.6903970000000003E-2"/>
    <n v="0"/>
    <n v="110.657"/>
    <n v="4.5"/>
  </r>
  <r>
    <x v="1"/>
    <n v="755"/>
    <s v="FDS57"/>
    <x v="6"/>
    <x v="7"/>
    <s v="OUT019"/>
    <x v="0"/>
    <x v="1"/>
    <x v="2"/>
    <n v="0.18111405899999999"/>
    <n v="0"/>
    <n v="141.64699999999999"/>
    <n v="4.5"/>
  </r>
  <r>
    <x v="1"/>
    <n v="756"/>
    <s v="DRH01"/>
    <x v="4"/>
    <x v="7"/>
    <s v="OUT019"/>
    <x v="0"/>
    <x v="1"/>
    <x v="2"/>
    <n v="0.17141731599999999"/>
    <n v="0"/>
    <n v="173.07380000000001"/>
    <n v="4.5"/>
  </r>
  <r>
    <x v="0"/>
    <n v="757"/>
    <s v="FDJ58"/>
    <x v="6"/>
    <x v="7"/>
    <s v="OUT019"/>
    <x v="0"/>
    <x v="1"/>
    <x v="2"/>
    <n v="0.184359831"/>
    <n v="0"/>
    <n v="172.6764"/>
    <n v="4.5"/>
  </r>
  <r>
    <x v="0"/>
    <n v="758"/>
    <s v="FDL57"/>
    <x v="6"/>
    <x v="7"/>
    <s v="OUT019"/>
    <x v="0"/>
    <x v="1"/>
    <x v="2"/>
    <n v="0.11744283799999999"/>
    <n v="0"/>
    <n v="257.73039999999997"/>
    <n v="4.5"/>
  </r>
  <r>
    <x v="0"/>
    <n v="759"/>
    <s v="FDT09"/>
    <x v="6"/>
    <x v="7"/>
    <s v="OUT019"/>
    <x v="0"/>
    <x v="1"/>
    <x v="2"/>
    <n v="2.1471456E-2"/>
    <n v="0"/>
    <n v="131.0284"/>
    <n v="4.5"/>
  </r>
  <r>
    <x v="0"/>
    <n v="760"/>
    <s v="FDY33"/>
    <x v="6"/>
    <x v="7"/>
    <s v="OUT019"/>
    <x v="0"/>
    <x v="1"/>
    <x v="2"/>
    <n v="0.17018662800000001"/>
    <n v="0"/>
    <n v="159.02619999999999"/>
    <n v="4.5"/>
  </r>
  <r>
    <x v="1"/>
    <n v="761"/>
    <s v="FDP09"/>
    <x v="6"/>
    <x v="7"/>
    <s v="OUT019"/>
    <x v="0"/>
    <x v="1"/>
    <x v="2"/>
    <n v="5.9336763000000001E-2"/>
    <n v="0"/>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n v="0"/>
    <n v="216.91659999999999"/>
    <n v="4.5"/>
  </r>
  <r>
    <x v="1"/>
    <n v="916"/>
    <s v="FDR23"/>
    <x v="8"/>
    <x v="7"/>
    <s v="OUT027"/>
    <x v="1"/>
    <x v="0"/>
    <x v="3"/>
    <n v="8.1391459999999999E-2"/>
    <n v="0"/>
    <n v="177.83699999999999"/>
    <n v="4.5"/>
  </r>
  <r>
    <x v="1"/>
    <n v="917"/>
    <s v="FDB27"/>
    <x v="11"/>
    <x v="7"/>
    <s v="OUT027"/>
    <x v="1"/>
    <x v="0"/>
    <x v="3"/>
    <n v="5.5121891999999999E-2"/>
    <n v="0"/>
    <n v="196.77680000000001"/>
    <n v="4.5"/>
  </r>
  <r>
    <x v="1"/>
    <n v="918"/>
    <s v="FDK51"/>
    <x v="11"/>
    <x v="7"/>
    <s v="OUT027"/>
    <x v="1"/>
    <x v="0"/>
    <x v="3"/>
    <n v="5.2097910000000001E-3"/>
    <n v="0"/>
    <n v="265.28840000000002"/>
    <n v="4.5"/>
  </r>
  <r>
    <x v="1"/>
    <n v="919"/>
    <s v="FDK28"/>
    <x v="2"/>
    <x v="7"/>
    <s v="OUT027"/>
    <x v="1"/>
    <x v="0"/>
    <x v="3"/>
    <n v="6.5272284E-2"/>
    <n v="0"/>
    <n v="256.16460000000001"/>
    <n v="4.5"/>
  </r>
  <r>
    <x v="1"/>
    <n v="920"/>
    <s v="FDK52"/>
    <x v="2"/>
    <x v="7"/>
    <s v="OUT027"/>
    <x v="1"/>
    <x v="0"/>
    <x v="3"/>
    <n v="0"/>
    <n v="0"/>
    <n v="225.30619999999999"/>
    <n v="4.5"/>
  </r>
  <r>
    <x v="1"/>
    <n v="921"/>
    <s v="FDU52"/>
    <x v="2"/>
    <x v="7"/>
    <s v="OUT027"/>
    <x v="1"/>
    <x v="0"/>
    <x v="3"/>
    <n v="6.3462047999999993E-2"/>
    <n v="0"/>
    <n v="157.56299999999999"/>
    <n v="4.5"/>
  </r>
  <r>
    <x v="1"/>
    <n v="922"/>
    <s v="NCK05"/>
    <x v="1"/>
    <x v="7"/>
    <s v="OUT027"/>
    <x v="1"/>
    <x v="0"/>
    <x v="3"/>
    <n v="7.7079176999999999E-2"/>
    <n v="0"/>
    <n v="61.553600000000003"/>
    <n v="4.5"/>
  </r>
  <r>
    <x v="1"/>
    <n v="923"/>
    <s v="NCA06"/>
    <x v="5"/>
    <x v="7"/>
    <s v="OUT027"/>
    <x v="1"/>
    <x v="0"/>
    <x v="3"/>
    <n v="0.14258975099999999"/>
    <n v="0"/>
    <n v="35.918999999999997"/>
    <n v="4.5"/>
  </r>
  <r>
    <x v="1"/>
    <n v="924"/>
    <s v="NCE06"/>
    <x v="5"/>
    <x v="7"/>
    <s v="OUT027"/>
    <x v="1"/>
    <x v="0"/>
    <x v="3"/>
    <n v="9.1042210999999998E-2"/>
    <n v="0"/>
    <n v="162.68940000000001"/>
    <n v="4.5"/>
  </r>
  <r>
    <x v="1"/>
    <n v="925"/>
    <s v="NCG07"/>
    <x v="5"/>
    <x v="7"/>
    <s v="OUT027"/>
    <x v="1"/>
    <x v="0"/>
    <x v="3"/>
    <n v="5.2247806000000001E-2"/>
    <n v="0"/>
    <n v="190.85300000000001"/>
    <n v="4.5"/>
  </r>
  <r>
    <x v="1"/>
    <n v="926"/>
    <s v="NCH54"/>
    <x v="5"/>
    <x v="7"/>
    <s v="OUT027"/>
    <x v="1"/>
    <x v="0"/>
    <x v="3"/>
    <n v="7.2317217000000003E-2"/>
    <n v="0"/>
    <n v="160.792"/>
    <n v="4.5"/>
  </r>
  <r>
    <x v="1"/>
    <n v="927"/>
    <s v="NCT18"/>
    <x v="5"/>
    <x v="7"/>
    <s v="OUT027"/>
    <x v="1"/>
    <x v="0"/>
    <x v="3"/>
    <n v="5.911748E-2"/>
    <n v="0"/>
    <n v="181.5976"/>
    <n v="4.5"/>
  </r>
  <r>
    <x v="1"/>
    <n v="928"/>
    <s v="NCZ06"/>
    <x v="5"/>
    <x v="7"/>
    <s v="OUT027"/>
    <x v="1"/>
    <x v="0"/>
    <x v="3"/>
    <n v="9.370568E-2"/>
    <n v="0"/>
    <n v="253.8698"/>
    <n v="4.5"/>
  </r>
  <r>
    <x v="1"/>
    <n v="929"/>
    <s v="NCL07"/>
    <x v="10"/>
    <x v="7"/>
    <s v="OUT027"/>
    <x v="1"/>
    <x v="0"/>
    <x v="3"/>
    <n v="3.1186800000000001E-2"/>
    <n v="0"/>
    <n v="39.548000000000002"/>
    <n v="4.5"/>
  </r>
  <r>
    <x v="0"/>
    <n v="930"/>
    <s v="FDF24"/>
    <x v="13"/>
    <x v="7"/>
    <s v="OUT027"/>
    <x v="1"/>
    <x v="0"/>
    <x v="3"/>
    <n v="2.524761E-2"/>
    <n v="0"/>
    <n v="81.993399999999994"/>
    <n v="4.5"/>
  </r>
  <r>
    <x v="0"/>
    <n v="931"/>
    <s v="FDF26"/>
    <x v="3"/>
    <x v="7"/>
    <s v="OUT027"/>
    <x v="1"/>
    <x v="0"/>
    <x v="3"/>
    <n v="4.6408928000000002E-2"/>
    <n v="0"/>
    <n v="153.2998"/>
    <n v="4.5"/>
  </r>
  <r>
    <x v="0"/>
    <n v="932"/>
    <s v="FDR40"/>
    <x v="2"/>
    <x v="7"/>
    <s v="OUT027"/>
    <x v="1"/>
    <x v="0"/>
    <x v="3"/>
    <n v="7.9954799999999993E-3"/>
    <n v="0"/>
    <n v="78.561800000000005"/>
    <n v="4.5"/>
  </r>
  <r>
    <x v="0"/>
    <n v="933"/>
    <s v="FDW16"/>
    <x v="2"/>
    <x v="7"/>
    <s v="OUT027"/>
    <x v="1"/>
    <x v="0"/>
    <x v="3"/>
    <n v="4.1273391E-2"/>
    <n v="0"/>
    <n v="91.680400000000006"/>
    <n v="4.5"/>
  </r>
  <r>
    <x v="0"/>
    <n v="934"/>
    <s v="FDY04"/>
    <x v="2"/>
    <x v="7"/>
    <s v="OUT027"/>
    <x v="1"/>
    <x v="0"/>
    <x v="3"/>
    <n v="4.2270751000000002E-2"/>
    <n v="0"/>
    <n v="162.52099999999999"/>
    <n v="4.5"/>
  </r>
  <r>
    <x v="0"/>
    <n v="935"/>
    <s v="FDO31"/>
    <x v="0"/>
    <x v="7"/>
    <s v="OUT027"/>
    <x v="1"/>
    <x v="0"/>
    <x v="3"/>
    <n v="2.8842331999999998E-2"/>
    <n v="0"/>
    <n v="81.495999999999995"/>
    <n v="4.5"/>
  </r>
  <r>
    <x v="0"/>
    <n v="936"/>
    <s v="FDF34"/>
    <x v="6"/>
    <x v="7"/>
    <s v="OUT027"/>
    <x v="1"/>
    <x v="0"/>
    <x v="3"/>
    <n v="1.3951504E-2"/>
    <n v="0"/>
    <n v="199.9084"/>
    <n v="4.5"/>
  </r>
  <r>
    <x v="0"/>
    <n v="937"/>
    <s v="DRC36"/>
    <x v="4"/>
    <x v="7"/>
    <s v="OUT027"/>
    <x v="1"/>
    <x v="0"/>
    <x v="3"/>
    <n v="4.4767031999999998E-2"/>
    <n v="0"/>
    <n v="173.7054"/>
    <n v="4.5"/>
  </r>
  <r>
    <x v="1"/>
    <n v="938"/>
    <s v="FDW24"/>
    <x v="13"/>
    <x v="7"/>
    <s v="OUT027"/>
    <x v="1"/>
    <x v="0"/>
    <x v="3"/>
    <n v="3.7315468999999997E-2"/>
    <n v="0"/>
    <n v="50.003399999999999"/>
    <n v="4.5"/>
  </r>
  <r>
    <x v="1"/>
    <n v="939"/>
    <s v="FDQ23"/>
    <x v="8"/>
    <x v="7"/>
    <s v="OUT027"/>
    <x v="1"/>
    <x v="0"/>
    <x v="3"/>
    <n v="2.4407061000000001E-2"/>
    <n v="0"/>
    <n v="102.33320000000001"/>
    <n v="4.5"/>
  </r>
  <r>
    <x v="1"/>
    <n v="940"/>
    <s v="NCS05"/>
    <x v="1"/>
    <x v="7"/>
    <s v="OUT027"/>
    <x v="1"/>
    <x v="0"/>
    <x v="3"/>
    <n v="2.0876485E-2"/>
    <n v="0"/>
    <n v="133.79419999999999"/>
    <n v="4.5"/>
  </r>
  <r>
    <x v="0"/>
    <n v="941"/>
    <s v="FDT26"/>
    <x v="11"/>
    <x v="7"/>
    <s v="OUT027"/>
    <x v="1"/>
    <x v="0"/>
    <x v="3"/>
    <n v="6.7624437999999995E-2"/>
    <n v="0"/>
    <n v="120.944"/>
    <n v="4.5"/>
  </r>
  <r>
    <x v="1"/>
    <n v="942"/>
    <s v="NCD19"/>
    <x v="5"/>
    <x v="3"/>
    <s v="OUT013"/>
    <x v="1"/>
    <x v="2"/>
    <x v="0"/>
    <n v="0"/>
    <n v="8.93"/>
    <n v="53.861400000000003"/>
    <n v="4.4000000000000004"/>
  </r>
  <r>
    <x v="1"/>
    <n v="943"/>
    <s v="FDB34"/>
    <x v="6"/>
    <x v="7"/>
    <s v="OUT027"/>
    <x v="1"/>
    <x v="0"/>
    <x v="3"/>
    <n v="2.6480954000000001E-2"/>
    <n v="0"/>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n v="0"/>
    <n v="165.7526"/>
    <n v="4.4000000000000004"/>
  </r>
  <r>
    <x v="1"/>
    <n v="950"/>
    <s v="FDT43"/>
    <x v="0"/>
    <x v="1"/>
    <s v="OUT018"/>
    <x v="1"/>
    <x v="0"/>
    <x v="1"/>
    <n v="2.0631653999999999E-2"/>
    <n v="16.350000000000001"/>
    <n v="50.132399999999997"/>
    <n v="4.4000000000000004"/>
  </r>
  <r>
    <x v="1"/>
    <n v="951"/>
    <s v="FDI24"/>
    <x v="13"/>
    <x v="7"/>
    <s v="OUT027"/>
    <x v="1"/>
    <x v="0"/>
    <x v="3"/>
    <n v="7.8362483999999996E-2"/>
    <n v="0"/>
    <n v="177.93700000000001"/>
    <n v="4.4000000000000004"/>
  </r>
  <r>
    <x v="0"/>
    <n v="952"/>
    <s v="FDS46"/>
    <x v="6"/>
    <x v="7"/>
    <s v="OUT019"/>
    <x v="0"/>
    <x v="1"/>
    <x v="2"/>
    <n v="8.2741482000000005E-2"/>
    <n v="0"/>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n v="0"/>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n v="0"/>
    <n v="106.928"/>
    <n v="4.4000000000000004"/>
  </r>
  <r>
    <x v="1"/>
    <n v="968"/>
    <s v="NCL19"/>
    <x v="10"/>
    <x v="8"/>
    <s v="OUT035"/>
    <x v="2"/>
    <x v="1"/>
    <x v="0"/>
    <n v="1.5673267000000001E-2"/>
    <n v="15.35"/>
    <n v="145.047"/>
    <n v="4.4000000000000004"/>
  </r>
  <r>
    <x v="0"/>
    <n v="969"/>
    <s v="FDT32"/>
    <x v="0"/>
    <x v="7"/>
    <s v="OUT027"/>
    <x v="1"/>
    <x v="0"/>
    <x v="3"/>
    <n v="6.5316099000000002E-2"/>
    <n v="0"/>
    <n v="189.92140000000001"/>
    <n v="4.4000000000000004"/>
  </r>
  <r>
    <x v="1"/>
    <n v="970"/>
    <s v="FDC46"/>
    <x v="6"/>
    <x v="7"/>
    <s v="OUT027"/>
    <x v="1"/>
    <x v="0"/>
    <x v="3"/>
    <n v="0.115978122"/>
    <n v="0"/>
    <n v="183.42660000000001"/>
    <n v="4.4000000000000004"/>
  </r>
  <r>
    <x v="1"/>
    <n v="971"/>
    <s v="FDS10"/>
    <x v="6"/>
    <x v="7"/>
    <s v="OUT027"/>
    <x v="1"/>
    <x v="0"/>
    <x v="3"/>
    <n v="3.5015200000000003E-2"/>
    <n v="0"/>
    <n v="182.0318"/>
    <n v="4.4000000000000004"/>
  </r>
  <r>
    <x v="1"/>
    <n v="972"/>
    <s v="FDC04"/>
    <x v="11"/>
    <x v="7"/>
    <s v="OUT027"/>
    <x v="1"/>
    <x v="0"/>
    <x v="3"/>
    <n v="4.4767801000000003E-2"/>
    <n v="0"/>
    <n v="241.8854"/>
    <n v="4.4000000000000004"/>
  </r>
  <r>
    <x v="1"/>
    <n v="973"/>
    <s v="NCJ30"/>
    <x v="5"/>
    <x v="1"/>
    <s v="OUT018"/>
    <x v="1"/>
    <x v="0"/>
    <x v="1"/>
    <n v="8.0968973E-2"/>
    <n v="5.82"/>
    <n v="171.37899999999999"/>
    <n v="4.4000000000000004"/>
  </r>
  <r>
    <x v="0"/>
    <n v="974"/>
    <s v="FDQ15"/>
    <x v="7"/>
    <x v="7"/>
    <s v="OUT027"/>
    <x v="1"/>
    <x v="0"/>
    <x v="3"/>
    <n v="0.15034186699999999"/>
    <n v="0"/>
    <n v="83.127600000000001"/>
    <n v="4.4000000000000004"/>
  </r>
  <r>
    <x v="0"/>
    <n v="975"/>
    <s v="FDV01"/>
    <x v="3"/>
    <x v="7"/>
    <s v="OUT027"/>
    <x v="1"/>
    <x v="0"/>
    <x v="3"/>
    <n v="0"/>
    <n v="0"/>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n v="0"/>
    <n v="92.446200000000005"/>
    <n v="4.4000000000000004"/>
  </r>
  <r>
    <x v="1"/>
    <n v="1020"/>
    <s v="DRG27"/>
    <x v="11"/>
    <x v="7"/>
    <s v="OUT019"/>
    <x v="0"/>
    <x v="1"/>
    <x v="2"/>
    <n v="0.18403525300000001"/>
    <n v="0"/>
    <n v="42.213799999999999"/>
    <n v="4.4000000000000004"/>
  </r>
  <r>
    <x v="1"/>
    <n v="1021"/>
    <s v="FDF16"/>
    <x v="2"/>
    <x v="7"/>
    <s v="OUT019"/>
    <x v="0"/>
    <x v="1"/>
    <x v="2"/>
    <n v="0.15080666600000001"/>
    <n v="0"/>
    <n v="149.0076"/>
    <n v="4.4000000000000004"/>
  </r>
  <r>
    <x v="1"/>
    <n v="1022"/>
    <s v="FDH08"/>
    <x v="0"/>
    <x v="7"/>
    <s v="OUT019"/>
    <x v="0"/>
    <x v="1"/>
    <x v="2"/>
    <n v="3.0516069E-2"/>
    <n v="0"/>
    <n v="227.80099999999999"/>
    <n v="4.4000000000000004"/>
  </r>
  <r>
    <x v="1"/>
    <n v="1023"/>
    <s v="FDR08"/>
    <x v="0"/>
    <x v="7"/>
    <s v="OUT019"/>
    <x v="0"/>
    <x v="1"/>
    <x v="2"/>
    <n v="6.5872936000000007E-2"/>
    <n v="0"/>
    <n v="113.18859999999999"/>
    <n v="4.4000000000000004"/>
  </r>
  <r>
    <x v="1"/>
    <n v="1024"/>
    <s v="FDU07"/>
    <x v="0"/>
    <x v="7"/>
    <s v="OUT019"/>
    <x v="0"/>
    <x v="1"/>
    <x v="2"/>
    <n v="0.104784329"/>
    <n v="0"/>
    <n v="150.4366"/>
    <n v="4.4000000000000004"/>
  </r>
  <r>
    <x v="1"/>
    <n v="1025"/>
    <s v="FDU32"/>
    <x v="0"/>
    <x v="7"/>
    <s v="OUT019"/>
    <x v="0"/>
    <x v="1"/>
    <x v="2"/>
    <n v="4.5465958000000001E-2"/>
    <n v="0"/>
    <n v="120.84139999999999"/>
    <n v="4.4000000000000004"/>
  </r>
  <r>
    <x v="1"/>
    <n v="1026"/>
    <s v="NCT53"/>
    <x v="1"/>
    <x v="7"/>
    <s v="OUT019"/>
    <x v="0"/>
    <x v="1"/>
    <x v="2"/>
    <n v="8.4245355999999993E-2"/>
    <n v="0"/>
    <n v="164.65260000000001"/>
    <n v="4.4000000000000004"/>
  </r>
  <r>
    <x v="1"/>
    <n v="1027"/>
    <s v="NCB19"/>
    <x v="5"/>
    <x v="7"/>
    <s v="OUT019"/>
    <x v="0"/>
    <x v="1"/>
    <x v="2"/>
    <n v="0.158096128"/>
    <n v="0"/>
    <n v="86.388199999999998"/>
    <n v="4.4000000000000004"/>
  </r>
  <r>
    <x v="1"/>
    <n v="1028"/>
    <s v="FDK43"/>
    <x v="7"/>
    <x v="7"/>
    <s v="OUT019"/>
    <x v="0"/>
    <x v="1"/>
    <x v="2"/>
    <n v="4.6994716999999998E-2"/>
    <n v="0"/>
    <n v="125.80200000000001"/>
    <n v="4.4000000000000004"/>
  </r>
  <r>
    <x v="1"/>
    <n v="1029"/>
    <s v="NCL55"/>
    <x v="10"/>
    <x v="7"/>
    <s v="OUT019"/>
    <x v="0"/>
    <x v="1"/>
    <x v="2"/>
    <n v="0.113212516"/>
    <n v="0"/>
    <n v="254.60400000000001"/>
    <n v="4.4000000000000004"/>
  </r>
  <r>
    <x v="1"/>
    <n v="1030"/>
    <s v="FDK33"/>
    <x v="6"/>
    <x v="7"/>
    <s v="OUT019"/>
    <x v="0"/>
    <x v="1"/>
    <x v="2"/>
    <n v="1.9671472999999998E-2"/>
    <n v="0"/>
    <n v="214.756"/>
    <n v="4.4000000000000004"/>
  </r>
  <r>
    <x v="1"/>
    <n v="1031"/>
    <s v="FDX09"/>
    <x v="6"/>
    <x v="7"/>
    <s v="OUT019"/>
    <x v="0"/>
    <x v="1"/>
    <x v="2"/>
    <n v="0.114243048"/>
    <n v="0"/>
    <n v="174.93700000000001"/>
    <n v="4.4000000000000004"/>
  </r>
  <r>
    <x v="1"/>
    <n v="1032"/>
    <s v="FDZ22"/>
    <x v="6"/>
    <x v="7"/>
    <s v="OUT019"/>
    <x v="0"/>
    <x v="1"/>
    <x v="2"/>
    <n v="7.9261743999999995E-2"/>
    <n v="0"/>
    <n v="81.825000000000003"/>
    <n v="4.4000000000000004"/>
  </r>
  <r>
    <x v="0"/>
    <n v="1033"/>
    <s v="FDY38"/>
    <x v="11"/>
    <x v="7"/>
    <s v="OUT019"/>
    <x v="0"/>
    <x v="1"/>
    <x v="2"/>
    <n v="0.208662546"/>
    <n v="0"/>
    <n v="231.83"/>
    <n v="4.4000000000000004"/>
  </r>
  <r>
    <x v="0"/>
    <n v="1034"/>
    <s v="FDE28"/>
    <x v="2"/>
    <x v="7"/>
    <s v="OUT019"/>
    <x v="0"/>
    <x v="1"/>
    <x v="2"/>
    <n v="0.23207267400000001"/>
    <n v="0"/>
    <n v="229.46680000000001"/>
    <n v="4.4000000000000004"/>
  </r>
  <r>
    <x v="0"/>
    <n v="1035"/>
    <s v="FDP40"/>
    <x v="2"/>
    <x v="7"/>
    <s v="OUT019"/>
    <x v="0"/>
    <x v="1"/>
    <x v="2"/>
    <n v="6.0154968000000003E-2"/>
    <n v="0"/>
    <n v="110.1544"/>
    <n v="4.4000000000000004"/>
  </r>
  <r>
    <x v="0"/>
    <n v="1036"/>
    <s v="FDY39"/>
    <x v="7"/>
    <x v="7"/>
    <s v="OUT019"/>
    <x v="0"/>
    <x v="1"/>
    <x v="2"/>
    <n v="8.2341170000000005E-2"/>
    <n v="0"/>
    <n v="185.76079999999999"/>
    <n v="4.4000000000000004"/>
  </r>
  <r>
    <x v="0"/>
    <n v="1037"/>
    <s v="FDQ45"/>
    <x v="6"/>
    <x v="7"/>
    <s v="OUT019"/>
    <x v="0"/>
    <x v="1"/>
    <x v="2"/>
    <n v="1.9114348999999999E-2"/>
    <n v="0"/>
    <n v="182.16079999999999"/>
    <n v="4.4000000000000004"/>
  </r>
  <r>
    <x v="0"/>
    <n v="1038"/>
    <s v="FDE11"/>
    <x v="15"/>
    <x v="7"/>
    <s v="OUT019"/>
    <x v="0"/>
    <x v="1"/>
    <x v="2"/>
    <n v="0.23653561000000001"/>
    <n v="0"/>
    <n v="184.19239999999999"/>
    <n v="4.4000000000000004"/>
  </r>
  <r>
    <x v="1"/>
    <n v="1039"/>
    <s v="FDD51"/>
    <x v="11"/>
    <x v="7"/>
    <s v="OUT019"/>
    <x v="0"/>
    <x v="1"/>
    <x v="2"/>
    <n v="0.210021713"/>
    <n v="0"/>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n v="0"/>
    <n v="152.3682"/>
    <n v="4.4000000000000004"/>
  </r>
  <r>
    <x v="1"/>
    <n v="1257"/>
    <s v="FDN01"/>
    <x v="12"/>
    <x v="7"/>
    <s v="OUT027"/>
    <x v="1"/>
    <x v="0"/>
    <x v="3"/>
    <n v="7.2048180000000003E-2"/>
    <n v="0"/>
    <n v="177.93700000000001"/>
    <n v="4.4000000000000004"/>
  </r>
  <r>
    <x v="1"/>
    <n v="1258"/>
    <s v="FDC02"/>
    <x v="3"/>
    <x v="7"/>
    <s v="OUT027"/>
    <x v="1"/>
    <x v="0"/>
    <x v="3"/>
    <n v="6.8489201E-2"/>
    <n v="0"/>
    <n v="259.32780000000002"/>
    <n v="4.4000000000000004"/>
  </r>
  <r>
    <x v="1"/>
    <n v="1259"/>
    <s v="FDS01"/>
    <x v="3"/>
    <x v="7"/>
    <s v="OUT027"/>
    <x v="1"/>
    <x v="0"/>
    <x v="3"/>
    <n v="1.7659068E-2"/>
    <n v="0"/>
    <n v="175.96860000000001"/>
    <n v="4.4000000000000004"/>
  </r>
  <r>
    <x v="1"/>
    <n v="1260"/>
    <s v="DRI39"/>
    <x v="11"/>
    <x v="7"/>
    <s v="OUT027"/>
    <x v="1"/>
    <x v="0"/>
    <x v="3"/>
    <n v="9.6592065000000005E-2"/>
    <n v="0"/>
    <n v="54.893000000000001"/>
    <n v="4.4000000000000004"/>
  </r>
  <r>
    <x v="1"/>
    <n v="1261"/>
    <s v="FDB53"/>
    <x v="2"/>
    <x v="7"/>
    <s v="OUT027"/>
    <x v="1"/>
    <x v="0"/>
    <x v="3"/>
    <n v="0.13877710800000001"/>
    <n v="0"/>
    <n v="147.53919999999999"/>
    <n v="4.4000000000000004"/>
  </r>
  <r>
    <x v="1"/>
    <n v="1262"/>
    <s v="FDI28"/>
    <x v="2"/>
    <x v="7"/>
    <s v="OUT027"/>
    <x v="1"/>
    <x v="0"/>
    <x v="3"/>
    <n v="2.6194236999999999E-2"/>
    <n v="0"/>
    <n v="79.030199999999994"/>
    <n v="4.4000000000000004"/>
  </r>
  <r>
    <x v="1"/>
    <n v="1263"/>
    <s v="FDL04"/>
    <x v="2"/>
    <x v="7"/>
    <s v="OUT027"/>
    <x v="1"/>
    <x v="0"/>
    <x v="3"/>
    <n v="0.111381428"/>
    <n v="0"/>
    <n v="106.76220000000001"/>
    <n v="4.4000000000000004"/>
  </r>
  <r>
    <x v="1"/>
    <n v="1264"/>
    <s v="DRJ59"/>
    <x v="9"/>
    <x v="7"/>
    <s v="OUT027"/>
    <x v="1"/>
    <x v="0"/>
    <x v="3"/>
    <n v="0"/>
    <n v="0"/>
    <n v="39.016399999999997"/>
    <n v="4.4000000000000004"/>
  </r>
  <r>
    <x v="1"/>
    <n v="1265"/>
    <s v="DRL35"/>
    <x v="9"/>
    <x v="7"/>
    <s v="OUT027"/>
    <x v="1"/>
    <x v="0"/>
    <x v="3"/>
    <n v="3.0554946999999999E-2"/>
    <n v="0"/>
    <n v="41.877000000000002"/>
    <n v="4.4000000000000004"/>
  </r>
  <r>
    <x v="1"/>
    <n v="1266"/>
    <s v="NCI29"/>
    <x v="1"/>
    <x v="7"/>
    <s v="OUT027"/>
    <x v="1"/>
    <x v="0"/>
    <x v="3"/>
    <n v="3.2463574000000002E-2"/>
    <n v="0"/>
    <n v="139.91540000000001"/>
    <n v="4.4000000000000004"/>
  </r>
  <r>
    <x v="1"/>
    <n v="1267"/>
    <s v="NCK29"/>
    <x v="1"/>
    <x v="7"/>
    <s v="OUT027"/>
    <x v="1"/>
    <x v="0"/>
    <x v="3"/>
    <n v="0"/>
    <n v="0"/>
    <n v="125.173"/>
    <n v="4.4000000000000004"/>
  </r>
  <r>
    <x v="1"/>
    <n v="1268"/>
    <s v="NCM05"/>
    <x v="1"/>
    <x v="7"/>
    <s v="OUT027"/>
    <x v="1"/>
    <x v="0"/>
    <x v="3"/>
    <n v="5.9557164000000003E-2"/>
    <n v="0"/>
    <n v="263.7226"/>
    <n v="4.4000000000000004"/>
  </r>
  <r>
    <x v="1"/>
    <n v="1269"/>
    <s v="NCO29"/>
    <x v="1"/>
    <x v="7"/>
    <s v="OUT027"/>
    <x v="1"/>
    <x v="0"/>
    <x v="3"/>
    <n v="3.2099989000000002E-2"/>
    <n v="0"/>
    <n v="164.15260000000001"/>
    <n v="4.4000000000000004"/>
  </r>
  <r>
    <x v="1"/>
    <n v="1270"/>
    <s v="NCP17"/>
    <x v="1"/>
    <x v="7"/>
    <s v="OUT027"/>
    <x v="1"/>
    <x v="0"/>
    <x v="3"/>
    <n v="2.7580163000000001E-2"/>
    <n v="0"/>
    <n v="62.216799999999999"/>
    <n v="4.4000000000000004"/>
  </r>
  <r>
    <x v="1"/>
    <n v="1271"/>
    <s v="NCE42"/>
    <x v="5"/>
    <x v="7"/>
    <s v="OUT027"/>
    <x v="1"/>
    <x v="0"/>
    <x v="3"/>
    <n v="1.055095E-2"/>
    <n v="0"/>
    <n v="234.9958"/>
    <n v="4.4000000000000004"/>
  </r>
  <r>
    <x v="1"/>
    <n v="1272"/>
    <s v="NCI42"/>
    <x v="5"/>
    <x v="7"/>
    <s v="OUT027"/>
    <x v="1"/>
    <x v="0"/>
    <x v="3"/>
    <n v="1.0315349999999999E-2"/>
    <n v="0"/>
    <n v="208.49539999999999"/>
    <n v="4.4000000000000004"/>
  </r>
  <r>
    <x v="1"/>
    <n v="1273"/>
    <s v="NCQ54"/>
    <x v="5"/>
    <x v="7"/>
    <s v="OUT027"/>
    <x v="1"/>
    <x v="0"/>
    <x v="3"/>
    <n v="1.2481638E-2"/>
    <n v="0"/>
    <n v="168.34739999999999"/>
    <n v="4.4000000000000004"/>
  </r>
  <r>
    <x v="1"/>
    <n v="1274"/>
    <s v="FDV45"/>
    <x v="6"/>
    <x v="7"/>
    <s v="OUT027"/>
    <x v="1"/>
    <x v="0"/>
    <x v="3"/>
    <n v="4.4829294999999998E-2"/>
    <n v="0"/>
    <n v="187.4556"/>
    <n v="4.4000000000000004"/>
  </r>
  <r>
    <x v="0"/>
    <n v="1275"/>
    <s v="FDO49"/>
    <x v="12"/>
    <x v="7"/>
    <s v="OUT027"/>
    <x v="1"/>
    <x v="0"/>
    <x v="3"/>
    <n v="3.2892112000000001E-2"/>
    <n v="0"/>
    <n v="49.300800000000002"/>
    <n v="4.4000000000000004"/>
  </r>
  <r>
    <x v="0"/>
    <n v="1276"/>
    <s v="FDB02"/>
    <x v="3"/>
    <x v="7"/>
    <s v="OUT027"/>
    <x v="1"/>
    <x v="0"/>
    <x v="3"/>
    <n v="2.9023047999999999E-2"/>
    <n v="0"/>
    <n v="177.83699999999999"/>
    <n v="4.4000000000000004"/>
  </r>
  <r>
    <x v="0"/>
    <n v="1277"/>
    <s v="FDE51"/>
    <x v="11"/>
    <x v="7"/>
    <s v="OUT027"/>
    <x v="1"/>
    <x v="0"/>
    <x v="3"/>
    <n v="9.6000183000000003E-2"/>
    <n v="0"/>
    <n v="43.708599999999997"/>
    <n v="4.4000000000000004"/>
  </r>
  <r>
    <x v="0"/>
    <n v="1278"/>
    <s v="FDR19"/>
    <x v="0"/>
    <x v="7"/>
    <s v="OUT027"/>
    <x v="1"/>
    <x v="0"/>
    <x v="3"/>
    <n v="0.158947217"/>
    <n v="0"/>
    <n v="145.5102"/>
    <n v="4.4000000000000004"/>
  </r>
  <r>
    <x v="0"/>
    <n v="1279"/>
    <s v="FDR31"/>
    <x v="0"/>
    <x v="7"/>
    <s v="OUT027"/>
    <x v="1"/>
    <x v="0"/>
    <x v="3"/>
    <n v="4.8924810999999999E-2"/>
    <n v="0"/>
    <n v="147.4102"/>
    <n v="4.4000000000000004"/>
  </r>
  <r>
    <x v="0"/>
    <n v="1280"/>
    <s v="FDT07"/>
    <x v="0"/>
    <x v="7"/>
    <s v="OUT027"/>
    <x v="1"/>
    <x v="0"/>
    <x v="3"/>
    <n v="7.6944657999999999E-2"/>
    <n v="0"/>
    <n v="257.13299999999998"/>
    <n v="4.4000000000000004"/>
  </r>
  <r>
    <x v="0"/>
    <n v="1281"/>
    <s v="FDI07"/>
    <x v="7"/>
    <x v="7"/>
    <s v="OUT027"/>
    <x v="1"/>
    <x v="0"/>
    <x v="3"/>
    <n v="3.3597373999999999E-2"/>
    <n v="0"/>
    <n v="197.24260000000001"/>
    <n v="4.4000000000000004"/>
  </r>
  <r>
    <x v="0"/>
    <n v="1282"/>
    <s v="FDU28"/>
    <x v="2"/>
    <x v="5"/>
    <s v="OUT017"/>
    <x v="2"/>
    <x v="1"/>
    <x v="0"/>
    <n v="9.444959E-2"/>
    <n v="19.2"/>
    <n v="187.82140000000001"/>
    <n v="4.3"/>
  </r>
  <r>
    <x v="1"/>
    <n v="1283"/>
    <s v="DRI11"/>
    <x v="9"/>
    <x v="7"/>
    <s v="OUT027"/>
    <x v="1"/>
    <x v="0"/>
    <x v="3"/>
    <n v="3.4237681999999998E-2"/>
    <n v="0"/>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n v="0"/>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n v="0"/>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n v="0"/>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n v="0"/>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n v="0"/>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n v="0"/>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n v="0"/>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n v="0"/>
    <n v="94.546199999999999"/>
    <n v="4.3"/>
  </r>
  <r>
    <x v="0"/>
    <n v="1348"/>
    <s v="FDI41"/>
    <x v="2"/>
    <x v="7"/>
    <s v="OUT019"/>
    <x v="0"/>
    <x v="1"/>
    <x v="2"/>
    <n v="0.10900383199999999"/>
    <n v="0"/>
    <n v="145.24180000000001"/>
    <n v="4.3"/>
  </r>
  <r>
    <x v="1"/>
    <n v="1349"/>
    <s v="FDA15"/>
    <x v="11"/>
    <x v="4"/>
    <s v="OUT045"/>
    <x v="2"/>
    <x v="0"/>
    <x v="0"/>
    <n v="1.6054883999999998E-2"/>
    <n v="9.3000000000000007"/>
    <n v="250.20920000000001"/>
    <n v="4.3"/>
  </r>
  <r>
    <x v="1"/>
    <n v="1350"/>
    <s v="DRD60"/>
    <x v="4"/>
    <x v="7"/>
    <s v="OUT019"/>
    <x v="0"/>
    <x v="1"/>
    <x v="2"/>
    <n v="6.5188619000000003E-2"/>
    <n v="0"/>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n v="0"/>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n v="0"/>
    <n v="250.47239999999999"/>
    <n v="4.3"/>
  </r>
  <r>
    <x v="1"/>
    <n v="1359"/>
    <s v="FDQ21"/>
    <x v="6"/>
    <x v="1"/>
    <s v="OUT018"/>
    <x v="1"/>
    <x v="0"/>
    <x v="1"/>
    <n v="1.9502354E-2"/>
    <n v="21.25"/>
    <n v="120.87560000000001"/>
    <n v="4.3"/>
  </r>
  <r>
    <x v="1"/>
    <n v="1360"/>
    <s v="NCK54"/>
    <x v="5"/>
    <x v="7"/>
    <s v="OUT027"/>
    <x v="1"/>
    <x v="0"/>
    <x v="3"/>
    <n v="2.9380407000000001E-2"/>
    <n v="0"/>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n v="0"/>
    <n v="185.42660000000001"/>
    <n v="4.3"/>
  </r>
  <r>
    <x v="1"/>
    <n v="1436"/>
    <s v="FDO36"/>
    <x v="13"/>
    <x v="7"/>
    <s v="OUT019"/>
    <x v="0"/>
    <x v="1"/>
    <x v="2"/>
    <n v="0.136417078"/>
    <n v="0"/>
    <n v="179.76599999999999"/>
    <n v="4.3"/>
  </r>
  <r>
    <x v="1"/>
    <n v="1437"/>
    <s v="FDU36"/>
    <x v="13"/>
    <x v="7"/>
    <s v="OUT019"/>
    <x v="0"/>
    <x v="1"/>
    <x v="2"/>
    <n v="8.1014460999999996E-2"/>
    <n v="0"/>
    <n v="98.838399999999993"/>
    <n v="4.3"/>
  </r>
  <r>
    <x v="1"/>
    <n v="1438"/>
    <s v="FDZ60"/>
    <x v="13"/>
    <x v="7"/>
    <s v="OUT019"/>
    <x v="0"/>
    <x v="1"/>
    <x v="2"/>
    <n v="0.208987123"/>
    <n v="0"/>
    <n v="106.0596"/>
    <n v="4.3"/>
  </r>
  <r>
    <x v="1"/>
    <n v="1439"/>
    <s v="FDS23"/>
    <x v="8"/>
    <x v="7"/>
    <s v="OUT019"/>
    <x v="0"/>
    <x v="1"/>
    <x v="2"/>
    <n v="0.246678647"/>
    <n v="0"/>
    <n v="129.79939999999999"/>
    <n v="4.3"/>
  </r>
  <r>
    <x v="1"/>
    <n v="1440"/>
    <s v="DRI03"/>
    <x v="11"/>
    <x v="7"/>
    <s v="OUT019"/>
    <x v="0"/>
    <x v="1"/>
    <x v="2"/>
    <n v="3.9751236000000002E-2"/>
    <n v="0"/>
    <n v="176.90280000000001"/>
    <n v="4.3"/>
  </r>
  <r>
    <x v="1"/>
    <n v="1441"/>
    <s v="FDP26"/>
    <x v="11"/>
    <x v="7"/>
    <s v="OUT019"/>
    <x v="0"/>
    <x v="1"/>
    <x v="2"/>
    <n v="0.24433898600000001"/>
    <n v="0"/>
    <n v="105.9306"/>
    <n v="4.3"/>
  </r>
  <r>
    <x v="1"/>
    <n v="1442"/>
    <s v="FDC28"/>
    <x v="2"/>
    <x v="7"/>
    <s v="OUT019"/>
    <x v="0"/>
    <x v="1"/>
    <x v="2"/>
    <n v="0"/>
    <n v="0"/>
    <n v="109.9254"/>
    <n v="4.3"/>
  </r>
  <r>
    <x v="1"/>
    <n v="1443"/>
    <s v="FDG16"/>
    <x v="2"/>
    <x v="7"/>
    <s v="OUT019"/>
    <x v="0"/>
    <x v="1"/>
    <x v="2"/>
    <n v="0.15725763700000001"/>
    <n v="0"/>
    <n v="215.01920000000001"/>
    <n v="4.3"/>
  </r>
  <r>
    <x v="1"/>
    <n v="1444"/>
    <s v="FDB33"/>
    <x v="0"/>
    <x v="7"/>
    <s v="OUT019"/>
    <x v="0"/>
    <x v="1"/>
    <x v="2"/>
    <n v="2.5527993999999998E-2"/>
    <n v="0"/>
    <n v="157.52619999999999"/>
    <n v="4.3"/>
  </r>
  <r>
    <x v="1"/>
    <n v="1445"/>
    <s v="FDI20"/>
    <x v="0"/>
    <x v="7"/>
    <s v="OUT019"/>
    <x v="0"/>
    <x v="1"/>
    <x v="2"/>
    <n v="6.7520164999999993E-2"/>
    <n v="0"/>
    <n v="211.3586"/>
    <n v="4.3"/>
  </r>
  <r>
    <x v="1"/>
    <n v="1446"/>
    <s v="FDR07"/>
    <x v="0"/>
    <x v="7"/>
    <s v="OUT019"/>
    <x v="0"/>
    <x v="1"/>
    <x v="2"/>
    <n v="0.13611954900000001"/>
    <n v="0"/>
    <n v="94.109399999999994"/>
    <n v="4.3"/>
  </r>
  <r>
    <x v="1"/>
    <n v="1447"/>
    <s v="NCK17"/>
    <x v="1"/>
    <x v="7"/>
    <s v="OUT019"/>
    <x v="0"/>
    <x v="1"/>
    <x v="2"/>
    <n v="0"/>
    <n v="0"/>
    <n v="40.347999999999999"/>
    <n v="4.3"/>
  </r>
  <r>
    <x v="1"/>
    <n v="1448"/>
    <s v="NCL05"/>
    <x v="1"/>
    <x v="7"/>
    <s v="OUT019"/>
    <x v="0"/>
    <x v="1"/>
    <x v="2"/>
    <n v="8.3862624999999996E-2"/>
    <n v="0"/>
    <n v="44.076999999999998"/>
    <n v="4.3"/>
  </r>
  <r>
    <x v="1"/>
    <n v="1449"/>
    <s v="NCQ29"/>
    <x v="1"/>
    <x v="7"/>
    <s v="OUT019"/>
    <x v="0"/>
    <x v="1"/>
    <x v="2"/>
    <n v="0.182493512"/>
    <n v="0"/>
    <n v="258.82780000000002"/>
    <n v="4.3"/>
  </r>
  <r>
    <x v="1"/>
    <n v="1450"/>
    <s v="NCX29"/>
    <x v="1"/>
    <x v="7"/>
    <s v="OUT019"/>
    <x v="0"/>
    <x v="1"/>
    <x v="2"/>
    <n v="0.15609456899999999"/>
    <n v="0"/>
    <n v="144.31020000000001"/>
    <n v="4.3"/>
  </r>
  <r>
    <x v="1"/>
    <n v="1451"/>
    <s v="NCB30"/>
    <x v="5"/>
    <x v="7"/>
    <s v="OUT019"/>
    <x v="0"/>
    <x v="1"/>
    <x v="2"/>
    <n v="4.5002623999999998E-2"/>
    <n v="0"/>
    <n v="196.50839999999999"/>
    <n v="4.3"/>
  </r>
  <r>
    <x v="1"/>
    <n v="1452"/>
    <s v="NCE54"/>
    <x v="5"/>
    <x v="7"/>
    <s v="OUT019"/>
    <x v="0"/>
    <x v="1"/>
    <x v="2"/>
    <n v="4.7098174999999999E-2"/>
    <n v="0"/>
    <n v="75.535399999999996"/>
    <n v="4.3"/>
  </r>
  <r>
    <x v="1"/>
    <n v="1453"/>
    <s v="NCU06"/>
    <x v="5"/>
    <x v="7"/>
    <s v="OUT019"/>
    <x v="0"/>
    <x v="1"/>
    <x v="2"/>
    <n v="0.13027716"/>
    <n v="0"/>
    <n v="228.001"/>
    <n v="4.3"/>
  </r>
  <r>
    <x v="1"/>
    <n v="1454"/>
    <s v="FDL15"/>
    <x v="7"/>
    <x v="7"/>
    <s v="OUT019"/>
    <x v="0"/>
    <x v="1"/>
    <x v="2"/>
    <n v="8.1651443000000004E-2"/>
    <n v="0"/>
    <n v="152.56819999999999"/>
    <n v="4.3"/>
  </r>
  <r>
    <x v="1"/>
    <n v="1455"/>
    <s v="NCM07"/>
    <x v="10"/>
    <x v="7"/>
    <s v="OUT019"/>
    <x v="0"/>
    <x v="1"/>
    <x v="2"/>
    <n v="6.9968018000000007E-2"/>
    <n v="0"/>
    <n v="83.990799999999993"/>
    <n v="4.3"/>
  </r>
  <r>
    <x v="1"/>
    <n v="1456"/>
    <s v="NCP43"/>
    <x v="10"/>
    <x v="7"/>
    <s v="OUT019"/>
    <x v="0"/>
    <x v="1"/>
    <x v="2"/>
    <n v="5.3413905999999997E-2"/>
    <n v="0"/>
    <n v="181.76599999999999"/>
    <n v="4.3"/>
  </r>
  <r>
    <x v="1"/>
    <n v="1457"/>
    <s v="FDP34"/>
    <x v="6"/>
    <x v="7"/>
    <s v="OUT019"/>
    <x v="0"/>
    <x v="1"/>
    <x v="2"/>
    <n v="0.24026824799999999"/>
    <n v="0"/>
    <n v="156.46299999999999"/>
    <n v="4.3"/>
  </r>
  <r>
    <x v="1"/>
    <n v="1458"/>
    <s v="DRF01"/>
    <x v="4"/>
    <x v="7"/>
    <s v="OUT019"/>
    <x v="0"/>
    <x v="1"/>
    <x v="2"/>
    <n v="0.30654284799999998"/>
    <n v="0"/>
    <n v="147.31020000000001"/>
    <n v="4.3"/>
  </r>
  <r>
    <x v="1"/>
    <n v="1459"/>
    <s v="DRL60"/>
    <x v="4"/>
    <x v="7"/>
    <s v="OUT019"/>
    <x v="0"/>
    <x v="1"/>
    <x v="2"/>
    <n v="4.7377447000000003E-2"/>
    <n v="0"/>
    <n v="150.66820000000001"/>
    <n v="4.3"/>
  </r>
  <r>
    <x v="0"/>
    <n v="1460"/>
    <s v="FDU24"/>
    <x v="13"/>
    <x v="7"/>
    <s v="OUT019"/>
    <x v="0"/>
    <x v="1"/>
    <x v="2"/>
    <n v="0.24540738600000001"/>
    <n v="0"/>
    <n v="92.811999999999998"/>
    <n v="4.3"/>
  </r>
  <r>
    <x v="0"/>
    <n v="1461"/>
    <s v="FDN25"/>
    <x v="12"/>
    <x v="7"/>
    <s v="OUT019"/>
    <x v="0"/>
    <x v="1"/>
    <x v="2"/>
    <n v="0.107110465"/>
    <n v="0"/>
    <n v="55.558799999999998"/>
    <n v="4.3"/>
  </r>
  <r>
    <x v="0"/>
    <n v="1462"/>
    <s v="FDW38"/>
    <x v="11"/>
    <x v="7"/>
    <s v="OUT019"/>
    <x v="0"/>
    <x v="1"/>
    <x v="2"/>
    <n v="0"/>
    <n v="0"/>
    <n v="55.9298"/>
    <n v="4.3"/>
  </r>
  <r>
    <x v="0"/>
    <n v="1463"/>
    <s v="FDX04"/>
    <x v="2"/>
    <x v="7"/>
    <s v="OUT019"/>
    <x v="0"/>
    <x v="1"/>
    <x v="2"/>
    <n v="7.2786429999999999E-2"/>
    <n v="0"/>
    <n v="49.437600000000003"/>
    <n v="4.3"/>
  </r>
  <r>
    <x v="0"/>
    <n v="1464"/>
    <s v="FDA08"/>
    <x v="0"/>
    <x v="7"/>
    <s v="OUT019"/>
    <x v="0"/>
    <x v="1"/>
    <x v="2"/>
    <n v="8.7692636000000004E-2"/>
    <n v="0"/>
    <n v="162.55260000000001"/>
    <n v="4.3"/>
  </r>
  <r>
    <x v="0"/>
    <n v="1465"/>
    <s v="FDE33"/>
    <x v="0"/>
    <x v="7"/>
    <s v="OUT019"/>
    <x v="0"/>
    <x v="1"/>
    <x v="2"/>
    <n v="8.6905536000000005E-2"/>
    <n v="0"/>
    <n v="78.864400000000003"/>
    <n v="4.3"/>
  </r>
  <r>
    <x v="0"/>
    <n v="1466"/>
    <s v="FDG08"/>
    <x v="0"/>
    <x v="7"/>
    <s v="OUT019"/>
    <x v="0"/>
    <x v="1"/>
    <x v="2"/>
    <n v="0.28952283299999998"/>
    <n v="0"/>
    <n v="172.07640000000001"/>
    <n v="4.3"/>
  </r>
  <r>
    <x v="0"/>
    <n v="1467"/>
    <s v="FDQ32"/>
    <x v="0"/>
    <x v="7"/>
    <s v="OUT019"/>
    <x v="0"/>
    <x v="1"/>
    <x v="2"/>
    <n v="8.1605462000000004E-2"/>
    <n v="0"/>
    <n v="122.33880000000001"/>
    <n v="4.3"/>
  </r>
  <r>
    <x v="0"/>
    <n v="1468"/>
    <s v="FDX56"/>
    <x v="0"/>
    <x v="7"/>
    <s v="OUT019"/>
    <x v="0"/>
    <x v="1"/>
    <x v="2"/>
    <n v="0.12966857800000001"/>
    <n v="0"/>
    <n v="206.8638"/>
    <n v="4.3"/>
  </r>
  <r>
    <x v="0"/>
    <n v="1469"/>
    <s v="FDX03"/>
    <x v="7"/>
    <x v="7"/>
    <s v="OUT019"/>
    <x v="0"/>
    <x v="1"/>
    <x v="2"/>
    <n v="0.10697116700000001"/>
    <n v="0"/>
    <n v="44.7744"/>
    <n v="4.3"/>
  </r>
  <r>
    <x v="0"/>
    <n v="1470"/>
    <s v="FDK58"/>
    <x v="6"/>
    <x v="7"/>
    <s v="OUT019"/>
    <x v="0"/>
    <x v="1"/>
    <x v="2"/>
    <n v="7.8758649E-2"/>
    <n v="0"/>
    <n v="103.0016"/>
    <n v="4.3"/>
  </r>
  <r>
    <x v="0"/>
    <n v="1471"/>
    <s v="FDL09"/>
    <x v="6"/>
    <x v="7"/>
    <s v="OUT019"/>
    <x v="0"/>
    <x v="1"/>
    <x v="2"/>
    <n v="0.22417463000000001"/>
    <n v="0"/>
    <n v="168.88159999999999"/>
    <n v="4.3"/>
  </r>
  <r>
    <x v="0"/>
    <n v="1472"/>
    <s v="FDM22"/>
    <x v="6"/>
    <x v="7"/>
    <s v="OUT019"/>
    <x v="0"/>
    <x v="1"/>
    <x v="2"/>
    <n v="7.3462632E-2"/>
    <n v="0"/>
    <n v="52.363999999999997"/>
    <n v="4.3"/>
  </r>
  <r>
    <x v="0"/>
    <n v="1473"/>
    <s v="FDV10"/>
    <x v="6"/>
    <x v="7"/>
    <s v="OUT019"/>
    <x v="0"/>
    <x v="1"/>
    <x v="2"/>
    <n v="0.11679368399999999"/>
    <n v="0"/>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n v="0"/>
    <n v="77.995999999999995"/>
    <n v="4.3"/>
  </r>
  <r>
    <x v="1"/>
    <n v="1912"/>
    <s v="FDM20"/>
    <x v="0"/>
    <x v="7"/>
    <s v="OUT027"/>
    <x v="1"/>
    <x v="0"/>
    <x v="3"/>
    <n v="0"/>
    <n v="0"/>
    <n v="245.01439999999999"/>
    <n v="4.3"/>
  </r>
  <r>
    <x v="1"/>
    <n v="1913"/>
    <s v="FDW08"/>
    <x v="0"/>
    <x v="7"/>
    <s v="OUT027"/>
    <x v="1"/>
    <x v="0"/>
    <x v="3"/>
    <n v="0.147663025"/>
    <n v="0"/>
    <n v="106.02800000000001"/>
    <n v="4.3"/>
  </r>
  <r>
    <x v="1"/>
    <n v="1914"/>
    <s v="NCR50"/>
    <x v="5"/>
    <x v="7"/>
    <s v="OUT027"/>
    <x v="1"/>
    <x v="0"/>
    <x v="3"/>
    <n v="1.1762847E-2"/>
    <n v="0"/>
    <n v="153.53399999999999"/>
    <n v="4.3"/>
  </r>
  <r>
    <x v="1"/>
    <n v="1915"/>
    <s v="FDE24"/>
    <x v="13"/>
    <x v="7"/>
    <s v="OUT027"/>
    <x v="1"/>
    <x v="0"/>
    <x v="3"/>
    <n v="9.3010025999999996E-2"/>
    <n v="0"/>
    <n v="143.0812"/>
    <n v="4.3"/>
  </r>
  <r>
    <x v="1"/>
    <n v="1916"/>
    <s v="FDJ48"/>
    <x v="13"/>
    <x v="7"/>
    <s v="OUT027"/>
    <x v="1"/>
    <x v="0"/>
    <x v="3"/>
    <n v="5.6161529000000002E-2"/>
    <n v="0"/>
    <n v="246.9118"/>
    <n v="4.3"/>
  </r>
  <r>
    <x v="1"/>
    <n v="1917"/>
    <s v="FDO60"/>
    <x v="13"/>
    <x v="7"/>
    <s v="OUT027"/>
    <x v="1"/>
    <x v="0"/>
    <x v="3"/>
    <n v="3.4203091999999997E-2"/>
    <n v="0"/>
    <n v="43.308599999999998"/>
    <n v="4.3"/>
  </r>
  <r>
    <x v="1"/>
    <n v="1918"/>
    <s v="FDR48"/>
    <x v="13"/>
    <x v="7"/>
    <s v="OUT027"/>
    <x v="1"/>
    <x v="0"/>
    <x v="3"/>
    <n v="0.13086741299999999"/>
    <n v="0"/>
    <n v="150.80240000000001"/>
    <n v="4.3"/>
  </r>
  <r>
    <x v="1"/>
    <n v="1919"/>
    <s v="FDA13"/>
    <x v="3"/>
    <x v="7"/>
    <s v="OUT027"/>
    <x v="1"/>
    <x v="0"/>
    <x v="3"/>
    <n v="7.8174542999999999E-2"/>
    <n v="0"/>
    <n v="39.950600000000001"/>
    <n v="4.3"/>
  </r>
  <r>
    <x v="1"/>
    <n v="1920"/>
    <s v="FDF50"/>
    <x v="3"/>
    <x v="7"/>
    <s v="OUT027"/>
    <x v="1"/>
    <x v="0"/>
    <x v="3"/>
    <n v="0.116762173"/>
    <n v="0"/>
    <n v="198.9768"/>
    <n v="4.3"/>
  </r>
  <r>
    <x v="1"/>
    <n v="1921"/>
    <s v="FDN02"/>
    <x v="3"/>
    <x v="7"/>
    <s v="OUT027"/>
    <x v="1"/>
    <x v="0"/>
    <x v="3"/>
    <n v="7.3470233999999995E-2"/>
    <n v="0"/>
    <n v="205.3638"/>
    <n v="4.3"/>
  </r>
  <r>
    <x v="1"/>
    <n v="1922"/>
    <s v="DRE15"/>
    <x v="11"/>
    <x v="7"/>
    <s v="OUT027"/>
    <x v="1"/>
    <x v="0"/>
    <x v="3"/>
    <n v="1.769927E-2"/>
    <n v="0"/>
    <n v="74.2012"/>
    <n v="4.3"/>
  </r>
  <r>
    <x v="1"/>
    <n v="1923"/>
    <s v="DRF27"/>
    <x v="11"/>
    <x v="7"/>
    <s v="OUT027"/>
    <x v="1"/>
    <x v="0"/>
    <x v="3"/>
    <n v="2.8279660000000002E-2"/>
    <n v="0"/>
    <n v="152.23400000000001"/>
    <n v="4.3"/>
  </r>
  <r>
    <x v="1"/>
    <n v="1924"/>
    <s v="FDC17"/>
    <x v="2"/>
    <x v="7"/>
    <s v="OUT027"/>
    <x v="1"/>
    <x v="0"/>
    <x v="3"/>
    <n v="1.5385856999999999E-2"/>
    <n v="0"/>
    <n v="208.99279999999999"/>
    <n v="4.3"/>
  </r>
  <r>
    <x v="1"/>
    <n v="1925"/>
    <s v="FDH41"/>
    <x v="2"/>
    <x v="7"/>
    <s v="OUT027"/>
    <x v="1"/>
    <x v="0"/>
    <x v="3"/>
    <n v="8.1614376000000002E-2"/>
    <n v="0"/>
    <n v="214.7534"/>
    <n v="4.3"/>
  </r>
  <r>
    <x v="1"/>
    <n v="1926"/>
    <s v="FDX28"/>
    <x v="2"/>
    <x v="7"/>
    <s v="OUT027"/>
    <x v="1"/>
    <x v="0"/>
    <x v="3"/>
    <n v="0"/>
    <n v="0"/>
    <n v="100.7042"/>
    <n v="4.3"/>
  </r>
  <r>
    <x v="1"/>
    <n v="1927"/>
    <s v="FDB08"/>
    <x v="0"/>
    <x v="7"/>
    <s v="OUT027"/>
    <x v="1"/>
    <x v="0"/>
    <x v="3"/>
    <n v="3.0952737000000001E-2"/>
    <n v="0"/>
    <n v="160.15780000000001"/>
    <n v="4.3"/>
  </r>
  <r>
    <x v="1"/>
    <n v="1928"/>
    <s v="FDC32"/>
    <x v="0"/>
    <x v="7"/>
    <s v="OUT027"/>
    <x v="1"/>
    <x v="0"/>
    <x v="3"/>
    <n v="9.8629062000000003E-2"/>
    <n v="0"/>
    <n v="90.646199999999993"/>
    <n v="4.3"/>
  </r>
  <r>
    <x v="1"/>
    <n v="1929"/>
    <s v="FDC44"/>
    <x v="0"/>
    <x v="7"/>
    <s v="OUT027"/>
    <x v="1"/>
    <x v="0"/>
    <x v="3"/>
    <n v="0.17176107700000001"/>
    <n v="0"/>
    <n v="115.7518"/>
    <n v="4.3"/>
  </r>
  <r>
    <x v="1"/>
    <n v="1930"/>
    <s v="FDD08"/>
    <x v="0"/>
    <x v="7"/>
    <s v="OUT027"/>
    <x v="1"/>
    <x v="0"/>
    <x v="3"/>
    <n v="3.5183156E-2"/>
    <n v="0"/>
    <n v="37.8506"/>
    <n v="4.3"/>
  </r>
  <r>
    <x v="1"/>
    <n v="1931"/>
    <s v="FDD20"/>
    <x v="0"/>
    <x v="7"/>
    <s v="OUT027"/>
    <x v="1"/>
    <x v="0"/>
    <x v="3"/>
    <n v="2.0614212E-2"/>
    <n v="0"/>
    <n v="126.4046"/>
    <n v="4.3"/>
  </r>
  <r>
    <x v="1"/>
    <n v="1932"/>
    <s v="FDE08"/>
    <x v="0"/>
    <x v="7"/>
    <s v="OUT027"/>
    <x v="1"/>
    <x v="0"/>
    <x v="3"/>
    <n v="4.9080853000000001E-2"/>
    <n v="0"/>
    <n v="147.77340000000001"/>
    <n v="4.3"/>
  </r>
  <r>
    <x v="1"/>
    <n v="1933"/>
    <s v="FDE57"/>
    <x v="0"/>
    <x v="7"/>
    <s v="OUT027"/>
    <x v="1"/>
    <x v="0"/>
    <x v="3"/>
    <n v="3.6109413E-2"/>
    <n v="0"/>
    <n v="140.61539999999999"/>
    <n v="4.3"/>
  </r>
  <r>
    <x v="1"/>
    <n v="1934"/>
    <s v="FDL20"/>
    <x v="0"/>
    <x v="7"/>
    <s v="OUT027"/>
    <x v="1"/>
    <x v="0"/>
    <x v="3"/>
    <n v="0.12779270100000001"/>
    <n v="0"/>
    <n v="111.18859999999999"/>
    <n v="4.3"/>
  </r>
  <r>
    <x v="1"/>
    <n v="1935"/>
    <s v="FDN20"/>
    <x v="0"/>
    <x v="7"/>
    <s v="OUT027"/>
    <x v="1"/>
    <x v="0"/>
    <x v="3"/>
    <n v="2.6055106000000001E-2"/>
    <n v="0"/>
    <n v="169.54740000000001"/>
    <n v="4.3"/>
  </r>
  <r>
    <x v="1"/>
    <n v="1936"/>
    <s v="DRK59"/>
    <x v="9"/>
    <x v="7"/>
    <s v="OUT027"/>
    <x v="1"/>
    <x v="0"/>
    <x v="3"/>
    <n v="7.5084456999999993E-2"/>
    <n v="0"/>
    <n v="233.9616"/>
    <n v="4.3"/>
  </r>
  <r>
    <x v="1"/>
    <n v="1937"/>
    <s v="NCQ17"/>
    <x v="1"/>
    <x v="7"/>
    <s v="OUT027"/>
    <x v="1"/>
    <x v="0"/>
    <x v="3"/>
    <n v="0.116366304"/>
    <n v="0"/>
    <n v="158.363"/>
    <n v="4.3"/>
  </r>
  <r>
    <x v="1"/>
    <n v="1938"/>
    <s v="NCQ41"/>
    <x v="1"/>
    <x v="7"/>
    <s v="OUT027"/>
    <x v="1"/>
    <x v="0"/>
    <x v="3"/>
    <n v="1.9386057000000002E-2"/>
    <n v="0"/>
    <n v="194.57939999999999"/>
    <n v="4.3"/>
  </r>
  <r>
    <x v="1"/>
    <n v="1939"/>
    <s v="NCC18"/>
    <x v="5"/>
    <x v="7"/>
    <s v="OUT027"/>
    <x v="1"/>
    <x v="0"/>
    <x v="3"/>
    <n v="0.17641157900000001"/>
    <n v="0"/>
    <n v="173.2422"/>
    <n v="4.3"/>
  </r>
  <r>
    <x v="1"/>
    <n v="1940"/>
    <s v="NCH55"/>
    <x v="5"/>
    <x v="7"/>
    <s v="OUT027"/>
    <x v="1"/>
    <x v="0"/>
    <x v="3"/>
    <n v="3.4504413999999997E-2"/>
    <n v="0"/>
    <n v="125.202"/>
    <n v="4.3"/>
  </r>
  <r>
    <x v="1"/>
    <n v="1941"/>
    <s v="NCL54"/>
    <x v="5"/>
    <x v="7"/>
    <s v="OUT027"/>
    <x v="1"/>
    <x v="0"/>
    <x v="3"/>
    <n v="8.2353075999999997E-2"/>
    <n v="0"/>
    <n v="176.90539999999999"/>
    <n v="4.3"/>
  </r>
  <r>
    <x v="1"/>
    <n v="1942"/>
    <s v="NCO14"/>
    <x v="5"/>
    <x v="7"/>
    <s v="OUT027"/>
    <x v="1"/>
    <x v="0"/>
    <x v="3"/>
    <n v="2.9500320999999999E-2"/>
    <n v="0"/>
    <n v="46.208599999999997"/>
    <n v="4.3"/>
  </r>
  <r>
    <x v="1"/>
    <n v="1943"/>
    <s v="NCX54"/>
    <x v="5"/>
    <x v="7"/>
    <s v="OUT027"/>
    <x v="1"/>
    <x v="0"/>
    <x v="3"/>
    <n v="4.7827138999999998E-2"/>
    <n v="0"/>
    <n v="105.3622"/>
    <n v="4.3"/>
  </r>
  <r>
    <x v="1"/>
    <n v="1944"/>
    <s v="FDI19"/>
    <x v="7"/>
    <x v="7"/>
    <s v="OUT027"/>
    <x v="1"/>
    <x v="0"/>
    <x v="3"/>
    <n v="5.2085615000000002E-2"/>
    <n v="0"/>
    <n v="242.85120000000001"/>
    <n v="4.3"/>
  </r>
  <r>
    <x v="1"/>
    <n v="1945"/>
    <s v="FDL43"/>
    <x v="7"/>
    <x v="7"/>
    <s v="OUT027"/>
    <x v="1"/>
    <x v="0"/>
    <x v="3"/>
    <n v="2.6933321E-2"/>
    <n v="0"/>
    <n v="78.466999999999999"/>
    <n v="4.3"/>
  </r>
  <r>
    <x v="1"/>
    <n v="1946"/>
    <s v="FDN15"/>
    <x v="7"/>
    <x v="7"/>
    <s v="OUT027"/>
    <x v="1"/>
    <x v="0"/>
    <x v="3"/>
    <n v="1.6653022E-2"/>
    <n v="0"/>
    <n v="139.518"/>
    <n v="4.3"/>
  </r>
  <r>
    <x v="1"/>
    <n v="1947"/>
    <s v="FDP15"/>
    <x v="7"/>
    <x v="7"/>
    <s v="OUT027"/>
    <x v="1"/>
    <x v="0"/>
    <x v="3"/>
    <n v="8.3536071000000003E-2"/>
    <n v="0"/>
    <n v="255.43299999999999"/>
    <n v="4.3"/>
  </r>
  <r>
    <x v="1"/>
    <n v="1948"/>
    <s v="FDQ39"/>
    <x v="7"/>
    <x v="7"/>
    <s v="OUT027"/>
    <x v="1"/>
    <x v="0"/>
    <x v="3"/>
    <n v="8.0649684999999999E-2"/>
    <n v="0"/>
    <n v="189.9846"/>
    <n v="4.3"/>
  </r>
  <r>
    <x v="1"/>
    <n v="1949"/>
    <s v="FDT03"/>
    <x v="7"/>
    <x v="7"/>
    <s v="OUT027"/>
    <x v="1"/>
    <x v="0"/>
    <x v="3"/>
    <n v="9.9503430000000004E-3"/>
    <n v="0"/>
    <n v="185.5608"/>
    <n v="4.3"/>
  </r>
  <r>
    <x v="1"/>
    <n v="1950"/>
    <s v="FDV51"/>
    <x v="7"/>
    <x v="7"/>
    <s v="OUT027"/>
    <x v="1"/>
    <x v="0"/>
    <x v="3"/>
    <n v="3.2381325000000002E-2"/>
    <n v="0"/>
    <n v="166.1842"/>
    <n v="4.3"/>
  </r>
  <r>
    <x v="1"/>
    <n v="1951"/>
    <s v="FDY51"/>
    <x v="7"/>
    <x v="7"/>
    <s v="OUT027"/>
    <x v="1"/>
    <x v="0"/>
    <x v="3"/>
    <n v="8.0741927000000005E-2"/>
    <n v="0"/>
    <n v="220.87979999999999"/>
    <n v="4.3"/>
  </r>
  <r>
    <x v="1"/>
    <n v="1952"/>
    <s v="NCM43"/>
    <x v="10"/>
    <x v="7"/>
    <s v="OUT027"/>
    <x v="1"/>
    <x v="0"/>
    <x v="3"/>
    <n v="1.9381059999999999E-2"/>
    <n v="0"/>
    <n v="164.321"/>
    <n v="4.3"/>
  </r>
  <r>
    <x v="1"/>
    <n v="1953"/>
    <s v="FDP33"/>
    <x v="6"/>
    <x v="7"/>
    <s v="OUT027"/>
    <x v="1"/>
    <x v="0"/>
    <x v="3"/>
    <n v="8.8839949000000001E-2"/>
    <n v="0"/>
    <n v="254.2672"/>
    <n v="4.3"/>
  </r>
  <r>
    <x v="1"/>
    <n v="1954"/>
    <s v="FDV21"/>
    <x v="6"/>
    <x v="7"/>
    <s v="OUT027"/>
    <x v="1"/>
    <x v="0"/>
    <x v="3"/>
    <n v="0.17025446899999999"/>
    <n v="0"/>
    <n v="124.8704"/>
    <n v="4.3"/>
  </r>
  <r>
    <x v="1"/>
    <n v="1955"/>
    <s v="DRD25"/>
    <x v="4"/>
    <x v="7"/>
    <s v="OUT027"/>
    <x v="1"/>
    <x v="0"/>
    <x v="3"/>
    <n v="7.8589628999999994E-2"/>
    <n v="0"/>
    <n v="113.286"/>
    <n v="4.3"/>
  </r>
  <r>
    <x v="1"/>
    <n v="1956"/>
    <s v="DRE25"/>
    <x v="4"/>
    <x v="7"/>
    <s v="OUT027"/>
    <x v="1"/>
    <x v="0"/>
    <x v="3"/>
    <n v="7.2928316000000007E-2"/>
    <n v="0"/>
    <n v="94.412000000000006"/>
    <n v="4.3"/>
  </r>
  <r>
    <x v="1"/>
    <n v="1957"/>
    <s v="DRF36"/>
    <x v="4"/>
    <x v="7"/>
    <s v="OUT027"/>
    <x v="1"/>
    <x v="0"/>
    <x v="3"/>
    <n v="2.3463123999999998E-2"/>
    <n v="0"/>
    <n v="190.68459999999999"/>
    <n v="4.3"/>
  </r>
  <r>
    <x v="1"/>
    <n v="1958"/>
    <s v="DRG13"/>
    <x v="4"/>
    <x v="7"/>
    <s v="OUT027"/>
    <x v="1"/>
    <x v="0"/>
    <x v="3"/>
    <n v="3.7006075999999999E-2"/>
    <n v="0"/>
    <n v="164.7526"/>
    <n v="4.3"/>
  </r>
  <r>
    <x v="1"/>
    <n v="1959"/>
    <s v="DRK13"/>
    <x v="4"/>
    <x v="7"/>
    <s v="OUT027"/>
    <x v="1"/>
    <x v="0"/>
    <x v="3"/>
    <n v="0.114609875"/>
    <n v="0"/>
    <n v="197.00839999999999"/>
    <n v="4.3"/>
  </r>
  <r>
    <x v="0"/>
    <n v="1960"/>
    <s v="FDN23"/>
    <x v="8"/>
    <x v="7"/>
    <s v="OUT027"/>
    <x v="1"/>
    <x v="0"/>
    <x v="3"/>
    <n v="7.5142107999999999E-2"/>
    <n v="0"/>
    <n v="145.84440000000001"/>
    <n v="4.3"/>
  </r>
  <r>
    <x v="0"/>
    <n v="1961"/>
    <s v="FDS59"/>
    <x v="8"/>
    <x v="7"/>
    <s v="OUT027"/>
    <x v="1"/>
    <x v="0"/>
    <x v="3"/>
    <n v="4.368089E-2"/>
    <n v="0"/>
    <n v="110.157"/>
    <n v="4.3"/>
  </r>
  <r>
    <x v="0"/>
    <n v="1962"/>
    <s v="FDZ35"/>
    <x v="8"/>
    <x v="7"/>
    <s v="OUT027"/>
    <x v="1"/>
    <x v="0"/>
    <x v="3"/>
    <n v="2.2170591999999999E-2"/>
    <n v="0"/>
    <n v="105.199"/>
    <n v="4.3"/>
  </r>
  <r>
    <x v="0"/>
    <n v="1963"/>
    <s v="FDD38"/>
    <x v="3"/>
    <x v="7"/>
    <s v="OUT027"/>
    <x v="1"/>
    <x v="0"/>
    <x v="3"/>
    <n v="0"/>
    <n v="0"/>
    <n v="100.3674"/>
    <n v="4.3"/>
  </r>
  <r>
    <x v="0"/>
    <n v="1964"/>
    <s v="FDU01"/>
    <x v="3"/>
    <x v="7"/>
    <s v="OUT027"/>
    <x v="1"/>
    <x v="0"/>
    <x v="3"/>
    <n v="1.1937183000000001E-2"/>
    <n v="0"/>
    <n v="184.79239999999999"/>
    <n v="4.3"/>
  </r>
  <r>
    <x v="0"/>
    <n v="1965"/>
    <s v="FDC29"/>
    <x v="2"/>
    <x v="7"/>
    <s v="OUT027"/>
    <x v="1"/>
    <x v="0"/>
    <x v="3"/>
    <n v="2.4088444000000001E-2"/>
    <n v="0"/>
    <n v="112.7176"/>
    <n v="4.3"/>
  </r>
  <r>
    <x v="0"/>
    <n v="1966"/>
    <s v="FDD41"/>
    <x v="2"/>
    <x v="7"/>
    <s v="OUT027"/>
    <x v="1"/>
    <x v="0"/>
    <x v="3"/>
    <n v="8.6837543000000003E-2"/>
    <n v="0"/>
    <n v="106.2306"/>
    <n v="4.3"/>
  </r>
  <r>
    <x v="0"/>
    <n v="1967"/>
    <s v="FDA08"/>
    <x v="0"/>
    <x v="7"/>
    <s v="OUT027"/>
    <x v="1"/>
    <x v="0"/>
    <x v="3"/>
    <n v="4.9842613000000001E-2"/>
    <n v="0"/>
    <n v="164.2526"/>
    <n v="4.3"/>
  </r>
  <r>
    <x v="0"/>
    <n v="1968"/>
    <s v="FDQ07"/>
    <x v="0"/>
    <x v="7"/>
    <s v="OUT027"/>
    <x v="1"/>
    <x v="0"/>
    <x v="3"/>
    <n v="8.6983590999999999E-2"/>
    <n v="0"/>
    <n v="219.84559999999999"/>
    <n v="4.3"/>
  </r>
  <r>
    <x v="0"/>
    <n v="1969"/>
    <s v="FDQ31"/>
    <x v="0"/>
    <x v="7"/>
    <s v="OUT027"/>
    <x v="1"/>
    <x v="0"/>
    <x v="3"/>
    <n v="5.3586457999999997E-2"/>
    <n v="0"/>
    <n v="89.785600000000002"/>
    <n v="4.3"/>
  </r>
  <r>
    <x v="0"/>
    <n v="1970"/>
    <s v="FDL03"/>
    <x v="7"/>
    <x v="7"/>
    <s v="OUT027"/>
    <x v="1"/>
    <x v="0"/>
    <x v="3"/>
    <n v="2.6949463E-2"/>
    <n v="0"/>
    <n v="197.71100000000001"/>
    <n v="4.3"/>
  </r>
  <r>
    <x v="0"/>
    <n v="1971"/>
    <s v="FDO27"/>
    <x v="7"/>
    <x v="7"/>
    <s v="OUT027"/>
    <x v="1"/>
    <x v="0"/>
    <x v="3"/>
    <n v="0.178210285"/>
    <n v="0"/>
    <n v="95.775199999999998"/>
    <n v="4.3"/>
  </r>
  <r>
    <x v="0"/>
    <n v="1972"/>
    <s v="FDJ33"/>
    <x v="6"/>
    <x v="7"/>
    <s v="OUT027"/>
    <x v="1"/>
    <x v="0"/>
    <x v="3"/>
    <n v="8.7894475E-2"/>
    <n v="0"/>
    <n v="121.173"/>
    <n v="4.3"/>
  </r>
  <r>
    <x v="0"/>
    <n v="1973"/>
    <s v="FDW09"/>
    <x v="6"/>
    <x v="7"/>
    <s v="OUT027"/>
    <x v="1"/>
    <x v="0"/>
    <x v="3"/>
    <n v="2.5795293E-2"/>
    <n v="0"/>
    <n v="80.230199999999996"/>
    <n v="4.3"/>
  </r>
  <r>
    <x v="0"/>
    <n v="1974"/>
    <s v="FDZ21"/>
    <x v="6"/>
    <x v="7"/>
    <s v="OUT027"/>
    <x v="1"/>
    <x v="0"/>
    <x v="3"/>
    <n v="3.9031927000000001E-2"/>
    <n v="0"/>
    <n v="95.641000000000005"/>
    <n v="4.3"/>
  </r>
  <r>
    <x v="0"/>
    <n v="1975"/>
    <s v="DRZ11"/>
    <x v="4"/>
    <x v="7"/>
    <s v="OUT027"/>
    <x v="1"/>
    <x v="0"/>
    <x v="3"/>
    <n v="0.112119359"/>
    <n v="0"/>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n v="0"/>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n v="0"/>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n v="0"/>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n v="0"/>
    <n v="193.81620000000001"/>
    <n v="4.2"/>
  </r>
  <r>
    <x v="1"/>
    <n v="2004"/>
    <s v="FDW24"/>
    <x v="13"/>
    <x v="7"/>
    <s v="OUT019"/>
    <x v="0"/>
    <x v="1"/>
    <x v="2"/>
    <n v="6.5652494000000006E-2"/>
    <n v="0"/>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n v="0"/>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n v="0"/>
    <n v="160.69200000000001"/>
    <n v="4.2"/>
  </r>
  <r>
    <x v="0"/>
    <n v="2018"/>
    <s v="FDW44"/>
    <x v="0"/>
    <x v="0"/>
    <s v="OUT049"/>
    <x v="0"/>
    <x v="0"/>
    <x v="0"/>
    <n v="3.5205866000000002E-2"/>
    <n v="9.5"/>
    <n v="171.34479999999999"/>
    <n v="4.2"/>
  </r>
  <r>
    <x v="1"/>
    <n v="2019"/>
    <s v="FDE22"/>
    <x v="6"/>
    <x v="7"/>
    <s v="OUT019"/>
    <x v="0"/>
    <x v="1"/>
    <x v="2"/>
    <n v="5.1778172999999997E-2"/>
    <n v="0"/>
    <n v="157.892"/>
    <n v="4.2"/>
  </r>
  <r>
    <x v="1"/>
    <n v="2020"/>
    <s v="NCU41"/>
    <x v="1"/>
    <x v="2"/>
    <s v="OUT046"/>
    <x v="0"/>
    <x v="1"/>
    <x v="0"/>
    <n v="5.2054819000000002E-2"/>
    <n v="18.850000000000001"/>
    <n v="189.18459999999999"/>
    <n v="4.2"/>
  </r>
  <r>
    <x v="1"/>
    <n v="2021"/>
    <s v="FDL46"/>
    <x v="6"/>
    <x v="7"/>
    <s v="OUT027"/>
    <x v="1"/>
    <x v="0"/>
    <x v="3"/>
    <n v="5.3795153999999998E-2"/>
    <n v="0"/>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n v="0"/>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n v="0"/>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n v="0"/>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n v="0"/>
    <n v="162.15520000000001"/>
    <n v="4.2"/>
  </r>
  <r>
    <x v="0"/>
    <n v="2041"/>
    <s v="FDJ03"/>
    <x v="11"/>
    <x v="3"/>
    <s v="OUT013"/>
    <x v="1"/>
    <x v="2"/>
    <x v="0"/>
    <n v="7.2334667000000005E-2"/>
    <n v="12.35"/>
    <n v="49.169199999999996"/>
    <n v="4.2"/>
  </r>
  <r>
    <x v="0"/>
    <n v="2042"/>
    <s v="FDZ08"/>
    <x v="0"/>
    <x v="7"/>
    <s v="OUT027"/>
    <x v="1"/>
    <x v="0"/>
    <x v="3"/>
    <n v="0.109459733"/>
    <n v="0"/>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n v="0"/>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n v="0"/>
    <n v="44.942799999999998"/>
    <n v="4.2"/>
  </r>
  <r>
    <x v="1"/>
    <n v="2122"/>
    <s v="FDK24"/>
    <x v="13"/>
    <x v="7"/>
    <s v="OUT019"/>
    <x v="0"/>
    <x v="1"/>
    <x v="2"/>
    <n v="0.17735437300000001"/>
    <n v="0"/>
    <n v="46.674399999999999"/>
    <n v="4.2"/>
  </r>
  <r>
    <x v="1"/>
    <n v="2123"/>
    <s v="FDN60"/>
    <x v="13"/>
    <x v="7"/>
    <s v="OUT019"/>
    <x v="0"/>
    <x v="1"/>
    <x v="2"/>
    <n v="0.16660951700000001"/>
    <n v="0"/>
    <n v="157.66040000000001"/>
    <n v="4.2"/>
  </r>
  <r>
    <x v="1"/>
    <n v="2124"/>
    <s v="FDW36"/>
    <x v="13"/>
    <x v="7"/>
    <s v="OUT019"/>
    <x v="0"/>
    <x v="1"/>
    <x v="2"/>
    <n v="9.9681704999999995E-2"/>
    <n v="0"/>
    <n v="107.4622"/>
    <n v="4.2"/>
  </r>
  <r>
    <x v="1"/>
    <n v="2125"/>
    <s v="FDR23"/>
    <x v="8"/>
    <x v="7"/>
    <s v="OUT019"/>
    <x v="0"/>
    <x v="1"/>
    <x v="2"/>
    <n v="0.14319938900000001"/>
    <n v="0"/>
    <n v="175.83699999999999"/>
    <n v="4.2"/>
  </r>
  <r>
    <x v="1"/>
    <n v="2126"/>
    <s v="FDA13"/>
    <x v="3"/>
    <x v="7"/>
    <s v="OUT019"/>
    <x v="0"/>
    <x v="1"/>
    <x v="2"/>
    <n v="0.137539574"/>
    <n v="0"/>
    <n v="38.8506"/>
    <n v="4.2"/>
  </r>
  <r>
    <x v="1"/>
    <n v="2127"/>
    <s v="FDH38"/>
    <x v="3"/>
    <x v="7"/>
    <s v="OUT019"/>
    <x v="0"/>
    <x v="1"/>
    <x v="2"/>
    <n v="1.8275994E-2"/>
    <n v="0"/>
    <n v="115.2808"/>
    <n v="4.2"/>
  </r>
  <r>
    <x v="1"/>
    <n v="2128"/>
    <s v="FDS01"/>
    <x v="3"/>
    <x v="7"/>
    <s v="OUT019"/>
    <x v="0"/>
    <x v="1"/>
    <x v="2"/>
    <n v="3.1069203E-2"/>
    <n v="0"/>
    <n v="179.6686"/>
    <n v="4.2"/>
  </r>
  <r>
    <x v="1"/>
    <n v="2129"/>
    <s v="FDY13"/>
    <x v="3"/>
    <x v="7"/>
    <s v="OUT019"/>
    <x v="0"/>
    <x v="1"/>
    <x v="2"/>
    <n v="5.2749198999999997E-2"/>
    <n v="0"/>
    <n v="74.966999999999999"/>
    <n v="4.2"/>
  </r>
  <r>
    <x v="1"/>
    <n v="2130"/>
    <s v="FDL40"/>
    <x v="2"/>
    <x v="7"/>
    <s v="OUT019"/>
    <x v="0"/>
    <x v="1"/>
    <x v="2"/>
    <n v="0"/>
    <n v="0"/>
    <n v="98.241"/>
    <n v="4.2"/>
  </r>
  <r>
    <x v="1"/>
    <n v="2131"/>
    <s v="NCK05"/>
    <x v="1"/>
    <x v="7"/>
    <s v="OUT019"/>
    <x v="0"/>
    <x v="1"/>
    <x v="2"/>
    <n v="0.135612397"/>
    <n v="0"/>
    <n v="61.153599999999997"/>
    <n v="4.2"/>
  </r>
  <r>
    <x v="1"/>
    <n v="2132"/>
    <s v="NCM05"/>
    <x v="1"/>
    <x v="7"/>
    <s v="OUT019"/>
    <x v="0"/>
    <x v="1"/>
    <x v="2"/>
    <n v="0.104784329"/>
    <n v="0"/>
    <n v="266.02260000000001"/>
    <n v="4.2"/>
  </r>
  <r>
    <x v="1"/>
    <n v="2133"/>
    <s v="NCY29"/>
    <x v="1"/>
    <x v="7"/>
    <s v="OUT019"/>
    <x v="0"/>
    <x v="1"/>
    <x v="2"/>
    <n v="0.13522696200000001"/>
    <n v="0"/>
    <n v="56.292999999999999"/>
    <n v="4.2"/>
  </r>
  <r>
    <x v="1"/>
    <n v="2134"/>
    <s v="NCG30"/>
    <x v="5"/>
    <x v="7"/>
    <s v="OUT019"/>
    <x v="0"/>
    <x v="1"/>
    <x v="2"/>
    <n v="0.196659953"/>
    <n v="0"/>
    <n v="125.80459999999999"/>
    <n v="4.2"/>
  </r>
  <r>
    <x v="1"/>
    <n v="2135"/>
    <s v="FDG31"/>
    <x v="7"/>
    <x v="7"/>
    <s v="OUT019"/>
    <x v="0"/>
    <x v="1"/>
    <x v="2"/>
    <n v="6.6351687000000006E-2"/>
    <n v="0"/>
    <n v="65.082599999999999"/>
    <n v="4.2"/>
  </r>
  <r>
    <x v="1"/>
    <n v="2136"/>
    <s v="FDV15"/>
    <x v="7"/>
    <x v="7"/>
    <s v="OUT019"/>
    <x v="0"/>
    <x v="1"/>
    <x v="2"/>
    <n v="0.25592909600000002"/>
    <n v="0"/>
    <n v="103.3648"/>
    <n v="4.2"/>
  </r>
  <r>
    <x v="1"/>
    <n v="2137"/>
    <s v="FDE46"/>
    <x v="6"/>
    <x v="7"/>
    <s v="OUT019"/>
    <x v="0"/>
    <x v="1"/>
    <x v="2"/>
    <n v="2.7610697999999999E-2"/>
    <n v="0"/>
    <n v="149.53659999999999"/>
    <n v="4.2"/>
  </r>
  <r>
    <x v="1"/>
    <n v="2138"/>
    <s v="DRF25"/>
    <x v="4"/>
    <x v="7"/>
    <s v="OUT019"/>
    <x v="0"/>
    <x v="1"/>
    <x v="2"/>
    <n v="6.8153090999999999E-2"/>
    <n v="0"/>
    <n v="36.018999999999998"/>
    <n v="4.2"/>
  </r>
  <r>
    <x v="1"/>
    <n v="2139"/>
    <s v="DRF49"/>
    <x v="4"/>
    <x v="7"/>
    <s v="OUT019"/>
    <x v="0"/>
    <x v="1"/>
    <x v="2"/>
    <n v="0.124448295"/>
    <n v="0"/>
    <n v="112.0518"/>
    <n v="4.2"/>
  </r>
  <r>
    <x v="1"/>
    <n v="2140"/>
    <s v="DRH37"/>
    <x v="4"/>
    <x v="7"/>
    <s v="OUT019"/>
    <x v="0"/>
    <x v="1"/>
    <x v="2"/>
    <n v="7.2864868999999999E-2"/>
    <n v="0"/>
    <n v="165.2526"/>
    <n v="4.2"/>
  </r>
  <r>
    <x v="0"/>
    <n v="2141"/>
    <s v="FDH14"/>
    <x v="3"/>
    <x v="7"/>
    <s v="OUT019"/>
    <x v="0"/>
    <x v="1"/>
    <x v="2"/>
    <n v="8.1955735000000002E-2"/>
    <n v="0"/>
    <n v="142.0838"/>
    <n v="4.2"/>
  </r>
  <r>
    <x v="0"/>
    <n v="2142"/>
    <s v="FDE51"/>
    <x v="11"/>
    <x v="7"/>
    <s v="OUT019"/>
    <x v="0"/>
    <x v="1"/>
    <x v="2"/>
    <n v="0.168901843"/>
    <n v="0"/>
    <n v="43.4086"/>
    <n v="4.2"/>
  </r>
  <r>
    <x v="0"/>
    <n v="2143"/>
    <s v="FDL52"/>
    <x v="2"/>
    <x v="7"/>
    <s v="OUT019"/>
    <x v="0"/>
    <x v="1"/>
    <x v="2"/>
    <n v="8.0697998000000007E-2"/>
    <n v="0"/>
    <n v="39.8506"/>
    <n v="4.2"/>
  </r>
  <r>
    <x v="0"/>
    <n v="2144"/>
    <s v="FDY28"/>
    <x v="2"/>
    <x v="7"/>
    <s v="OUT019"/>
    <x v="0"/>
    <x v="1"/>
    <x v="2"/>
    <n v="0.26639670999999998"/>
    <n v="0"/>
    <n v="215.62180000000001"/>
    <n v="4.2"/>
  </r>
  <r>
    <x v="0"/>
    <n v="2145"/>
    <s v="FDE56"/>
    <x v="0"/>
    <x v="7"/>
    <s v="OUT019"/>
    <x v="0"/>
    <x v="1"/>
    <x v="2"/>
    <n v="0.27873064199999997"/>
    <n v="0"/>
    <n v="63.2194"/>
    <n v="4.2"/>
  </r>
  <r>
    <x v="0"/>
    <n v="2146"/>
    <s v="FDH45"/>
    <x v="0"/>
    <x v="7"/>
    <s v="OUT019"/>
    <x v="0"/>
    <x v="1"/>
    <x v="2"/>
    <n v="0.18500898499999999"/>
    <n v="0"/>
    <n v="42.379600000000003"/>
    <n v="4.2"/>
  </r>
  <r>
    <x v="0"/>
    <n v="2147"/>
    <s v="FDH56"/>
    <x v="0"/>
    <x v="7"/>
    <s v="OUT019"/>
    <x v="0"/>
    <x v="1"/>
    <x v="2"/>
    <n v="0.11173569"/>
    <n v="0"/>
    <n v="115.9492"/>
    <n v="4.2"/>
  </r>
  <r>
    <x v="0"/>
    <n v="2148"/>
    <s v="FDO56"/>
    <x v="0"/>
    <x v="7"/>
    <s v="OUT019"/>
    <x v="0"/>
    <x v="1"/>
    <x v="2"/>
    <n v="7.8758649E-2"/>
    <n v="0"/>
    <n v="116.38079999999999"/>
    <n v="4.2"/>
  </r>
  <r>
    <x v="0"/>
    <n v="2149"/>
    <s v="FDT55"/>
    <x v="0"/>
    <x v="7"/>
    <s v="OUT019"/>
    <x v="0"/>
    <x v="1"/>
    <x v="2"/>
    <n v="7.6434541999999994E-2"/>
    <n v="0"/>
    <n v="155.8946"/>
    <n v="4.2"/>
  </r>
  <r>
    <x v="0"/>
    <n v="2150"/>
    <s v="FDY03"/>
    <x v="7"/>
    <x v="7"/>
    <s v="OUT019"/>
    <x v="0"/>
    <x v="1"/>
    <x v="2"/>
    <n v="0.133279499"/>
    <n v="0"/>
    <n v="112.6202"/>
    <n v="4.2"/>
  </r>
  <r>
    <x v="0"/>
    <n v="2151"/>
    <s v="FDS21"/>
    <x v="6"/>
    <x v="7"/>
    <s v="OUT019"/>
    <x v="0"/>
    <x v="1"/>
    <x v="2"/>
    <n v="3.6551446000000001E-2"/>
    <n v="0"/>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n v="0"/>
    <n v="54.2956"/>
    <n v="4.2"/>
  </r>
  <r>
    <x v="1"/>
    <n v="2595"/>
    <s v="FDA23"/>
    <x v="13"/>
    <x v="7"/>
    <s v="OUT027"/>
    <x v="1"/>
    <x v="0"/>
    <x v="3"/>
    <n v="4.6958532999999997E-2"/>
    <n v="0"/>
    <n v="101.30159999999999"/>
    <n v="4.2"/>
  </r>
  <r>
    <x v="1"/>
    <n v="2596"/>
    <s v="FDA36"/>
    <x v="13"/>
    <x v="7"/>
    <s v="OUT027"/>
    <x v="1"/>
    <x v="0"/>
    <x v="3"/>
    <n v="5.6389439999999999E-3"/>
    <n v="0"/>
    <n v="184.9924"/>
    <n v="4.2"/>
  </r>
  <r>
    <x v="1"/>
    <n v="2597"/>
    <s v="FDK48"/>
    <x v="13"/>
    <x v="7"/>
    <s v="OUT027"/>
    <x v="1"/>
    <x v="0"/>
    <x v="3"/>
    <n v="3.7449986999999997E-2"/>
    <n v="0"/>
    <n v="76.735399999999998"/>
    <n v="4.2"/>
  </r>
  <r>
    <x v="1"/>
    <n v="2598"/>
    <s v="FDZ60"/>
    <x v="13"/>
    <x v="7"/>
    <s v="OUT027"/>
    <x v="1"/>
    <x v="0"/>
    <x v="3"/>
    <n v="0.118783796"/>
    <n v="0"/>
    <n v="108.5596"/>
    <n v="4.2"/>
  </r>
  <r>
    <x v="1"/>
    <n v="2599"/>
    <s v="FDO37"/>
    <x v="12"/>
    <x v="7"/>
    <s v="OUT027"/>
    <x v="1"/>
    <x v="0"/>
    <x v="3"/>
    <n v="2.1273160999999999E-2"/>
    <n v="0"/>
    <n v="229.1326"/>
    <n v="4.2"/>
  </r>
  <r>
    <x v="1"/>
    <n v="2600"/>
    <s v="DRI51"/>
    <x v="11"/>
    <x v="7"/>
    <s v="OUT027"/>
    <x v="1"/>
    <x v="0"/>
    <x v="3"/>
    <n v="4.2037073000000001E-2"/>
    <n v="0"/>
    <n v="172.6764"/>
    <n v="4.2"/>
  </r>
  <r>
    <x v="1"/>
    <n v="2601"/>
    <s v="FDB52"/>
    <x v="11"/>
    <x v="7"/>
    <s v="OUT027"/>
    <x v="1"/>
    <x v="0"/>
    <x v="3"/>
    <n v="3.0288215E-2"/>
    <n v="0"/>
    <n v="256.7672"/>
    <n v="4.2"/>
  </r>
  <r>
    <x v="1"/>
    <n v="2602"/>
    <s v="FDB05"/>
    <x v="2"/>
    <x v="7"/>
    <s v="OUT027"/>
    <x v="1"/>
    <x v="0"/>
    <x v="3"/>
    <n v="8.2795450000000007E-2"/>
    <n v="0"/>
    <n v="245.8776"/>
    <n v="4.2"/>
  </r>
  <r>
    <x v="1"/>
    <n v="2603"/>
    <s v="FDA20"/>
    <x v="0"/>
    <x v="7"/>
    <s v="OUT027"/>
    <x v="1"/>
    <x v="0"/>
    <x v="3"/>
    <n v="6.6298468999999999E-2"/>
    <n v="0"/>
    <n v="186.82400000000001"/>
    <n v="4.2"/>
  </r>
  <r>
    <x v="1"/>
    <n v="2604"/>
    <s v="FDH32"/>
    <x v="0"/>
    <x v="7"/>
    <s v="OUT027"/>
    <x v="1"/>
    <x v="0"/>
    <x v="3"/>
    <n v="7.5691712999999994E-2"/>
    <n v="0"/>
    <n v="98.241"/>
    <n v="4.2"/>
  </r>
  <r>
    <x v="1"/>
    <n v="2605"/>
    <s v="FDL08"/>
    <x v="0"/>
    <x v="7"/>
    <s v="OUT027"/>
    <x v="1"/>
    <x v="0"/>
    <x v="3"/>
    <n v="4.9478258999999997E-2"/>
    <n v="0"/>
    <n v="245.4144"/>
    <n v="4.2"/>
  </r>
  <r>
    <x v="1"/>
    <n v="2606"/>
    <s v="FDP56"/>
    <x v="0"/>
    <x v="7"/>
    <s v="OUT027"/>
    <x v="1"/>
    <x v="0"/>
    <x v="3"/>
    <n v="4.6259036000000003E-2"/>
    <n v="0"/>
    <n v="47.469200000000001"/>
    <n v="4.2"/>
  </r>
  <r>
    <x v="1"/>
    <n v="2607"/>
    <s v="FDV43"/>
    <x v="0"/>
    <x v="7"/>
    <s v="OUT027"/>
    <x v="1"/>
    <x v="0"/>
    <x v="3"/>
    <n v="7.6483450999999994E-2"/>
    <n v="0"/>
    <n v="43.4086"/>
    <n v="4.2"/>
  </r>
  <r>
    <x v="1"/>
    <n v="2608"/>
    <s v="DRJ47"/>
    <x v="9"/>
    <x v="7"/>
    <s v="OUT027"/>
    <x v="1"/>
    <x v="0"/>
    <x v="3"/>
    <n v="4.4036020000000002E-2"/>
    <n v="0"/>
    <n v="173.30799999999999"/>
    <n v="4.2"/>
  </r>
  <r>
    <x v="1"/>
    <n v="2609"/>
    <s v="NCB42"/>
    <x v="1"/>
    <x v="7"/>
    <s v="OUT027"/>
    <x v="1"/>
    <x v="0"/>
    <x v="3"/>
    <n v="8.5197180000000008E-3"/>
    <n v="0"/>
    <n v="116.9492"/>
    <n v="4.2"/>
  </r>
  <r>
    <x v="1"/>
    <n v="2610"/>
    <s v="NCI17"/>
    <x v="1"/>
    <x v="7"/>
    <s v="OUT027"/>
    <x v="1"/>
    <x v="0"/>
    <x v="3"/>
    <n v="0.14272811299999999"/>
    <n v="0"/>
    <n v="95.141000000000005"/>
    <n v="4.2"/>
  </r>
  <r>
    <x v="1"/>
    <n v="2611"/>
    <s v="NCL29"/>
    <x v="1"/>
    <x v="7"/>
    <s v="OUT027"/>
    <x v="1"/>
    <x v="0"/>
    <x v="3"/>
    <n v="0.11338767700000001"/>
    <n v="0"/>
    <n v="156.96039999999999"/>
    <n v="4.2"/>
  </r>
  <r>
    <x v="1"/>
    <n v="2612"/>
    <s v="NCM17"/>
    <x v="1"/>
    <x v="7"/>
    <s v="OUT027"/>
    <x v="1"/>
    <x v="0"/>
    <x v="3"/>
    <n v="7.0791390999999995E-2"/>
    <n v="0"/>
    <n v="46.4086"/>
    <n v="4.2"/>
  </r>
  <r>
    <x v="1"/>
    <n v="2613"/>
    <s v="NCS53"/>
    <x v="1"/>
    <x v="7"/>
    <s v="OUT027"/>
    <x v="1"/>
    <x v="0"/>
    <x v="3"/>
    <n v="8.9343433E-2"/>
    <n v="0"/>
    <n v="157.3604"/>
    <n v="4.2"/>
  </r>
  <r>
    <x v="1"/>
    <n v="2614"/>
    <s v="NCW29"/>
    <x v="1"/>
    <x v="7"/>
    <s v="OUT027"/>
    <x v="1"/>
    <x v="0"/>
    <x v="3"/>
    <n v="2.8723187000000001E-2"/>
    <n v="0"/>
    <n v="131.83099999999999"/>
    <n v="4.2"/>
  </r>
  <r>
    <x v="1"/>
    <n v="2615"/>
    <s v="NCY29"/>
    <x v="1"/>
    <x v="7"/>
    <s v="OUT027"/>
    <x v="1"/>
    <x v="0"/>
    <x v="3"/>
    <n v="7.6860102999999999E-2"/>
    <n v="0"/>
    <n v="55.993000000000002"/>
    <n v="4.2"/>
  </r>
  <r>
    <x v="1"/>
    <n v="2616"/>
    <s v="NCE54"/>
    <x v="5"/>
    <x v="7"/>
    <s v="OUT027"/>
    <x v="1"/>
    <x v="0"/>
    <x v="3"/>
    <n v="2.6769591999999998E-2"/>
    <n v="0"/>
    <n v="77.035399999999996"/>
    <n v="4.2"/>
  </r>
  <r>
    <x v="1"/>
    <n v="2617"/>
    <s v="NCI18"/>
    <x v="5"/>
    <x v="7"/>
    <s v="OUT027"/>
    <x v="1"/>
    <x v="0"/>
    <x v="3"/>
    <n v="1.3956115999999999E-2"/>
    <n v="0"/>
    <n v="222.37459999999999"/>
    <n v="4.2"/>
  </r>
  <r>
    <x v="1"/>
    <n v="2618"/>
    <s v="NCN18"/>
    <x v="5"/>
    <x v="7"/>
    <s v="OUT027"/>
    <x v="1"/>
    <x v="0"/>
    <x v="3"/>
    <n v="0.124110734"/>
    <n v="0"/>
    <n v="111.7544"/>
    <n v="4.2"/>
  </r>
  <r>
    <x v="1"/>
    <n v="2619"/>
    <s v="FDK27"/>
    <x v="7"/>
    <x v="7"/>
    <s v="OUT027"/>
    <x v="1"/>
    <x v="0"/>
    <x v="3"/>
    <n v="8.9032120000000006E-3"/>
    <n v="0"/>
    <n v="120.9756"/>
    <n v="4.2"/>
  </r>
  <r>
    <x v="1"/>
    <n v="2620"/>
    <s v="NCI31"/>
    <x v="10"/>
    <x v="7"/>
    <s v="OUT027"/>
    <x v="1"/>
    <x v="0"/>
    <x v="3"/>
    <n v="8.0933327999999999E-2"/>
    <n v="0"/>
    <n v="37.518999999999998"/>
    <n v="4.2"/>
  </r>
  <r>
    <x v="1"/>
    <n v="2621"/>
    <s v="FDB59"/>
    <x v="6"/>
    <x v="7"/>
    <s v="OUT027"/>
    <x v="1"/>
    <x v="0"/>
    <x v="3"/>
    <n v="1.520491E-2"/>
    <n v="0"/>
    <n v="197.20840000000001"/>
    <n v="4.2"/>
  </r>
  <r>
    <x v="1"/>
    <n v="2622"/>
    <s v="FDE58"/>
    <x v="6"/>
    <x v="7"/>
    <s v="OUT027"/>
    <x v="1"/>
    <x v="0"/>
    <x v="3"/>
    <n v="0"/>
    <n v="0"/>
    <n v="119.8124"/>
    <n v="4.2"/>
  </r>
  <r>
    <x v="1"/>
    <n v="2623"/>
    <s v="FDM21"/>
    <x v="6"/>
    <x v="7"/>
    <s v="OUT027"/>
    <x v="1"/>
    <x v="0"/>
    <x v="3"/>
    <n v="6.4052392E-2"/>
    <n v="0"/>
    <n v="256.16460000000001"/>
    <n v="4.2"/>
  </r>
  <r>
    <x v="1"/>
    <n v="2624"/>
    <s v="FDN57"/>
    <x v="6"/>
    <x v="7"/>
    <s v="OUT027"/>
    <x v="1"/>
    <x v="0"/>
    <x v="3"/>
    <n v="5.3971565999999999E-2"/>
    <n v="0"/>
    <n v="141.21539999999999"/>
    <n v="4.2"/>
  </r>
  <r>
    <x v="1"/>
    <n v="2625"/>
    <s v="FDR45"/>
    <x v="6"/>
    <x v="7"/>
    <s v="OUT027"/>
    <x v="1"/>
    <x v="0"/>
    <x v="3"/>
    <n v="0"/>
    <n v="0"/>
    <n v="240.62219999999999"/>
    <n v="4.2"/>
  </r>
  <r>
    <x v="1"/>
    <n v="2626"/>
    <s v="FDT46"/>
    <x v="6"/>
    <x v="7"/>
    <s v="OUT027"/>
    <x v="1"/>
    <x v="0"/>
    <x v="3"/>
    <n v="3.0657949E-2"/>
    <n v="0"/>
    <n v="50.500799999999998"/>
    <n v="4.2"/>
  </r>
  <r>
    <x v="1"/>
    <n v="2627"/>
    <s v="FDT57"/>
    <x v="6"/>
    <x v="7"/>
    <s v="OUT027"/>
    <x v="1"/>
    <x v="0"/>
    <x v="3"/>
    <n v="1.8942606000000001E-2"/>
    <n v="0"/>
    <n v="236.0248"/>
    <n v="4.2"/>
  </r>
  <r>
    <x v="1"/>
    <n v="2628"/>
    <s v="FDZ58"/>
    <x v="6"/>
    <x v="7"/>
    <s v="OUT027"/>
    <x v="1"/>
    <x v="0"/>
    <x v="3"/>
    <n v="5.1924192000000001E-2"/>
    <n v="0"/>
    <n v="121.0072"/>
    <n v="4.2"/>
  </r>
  <r>
    <x v="1"/>
    <n v="2629"/>
    <s v="DRI25"/>
    <x v="4"/>
    <x v="7"/>
    <s v="OUT027"/>
    <x v="1"/>
    <x v="0"/>
    <x v="3"/>
    <n v="3.3737272999999998E-2"/>
    <n v="0"/>
    <n v="56.6614"/>
    <n v="4.2"/>
  </r>
  <r>
    <x v="1"/>
    <n v="2630"/>
    <s v="DRJ37"/>
    <x v="4"/>
    <x v="7"/>
    <s v="OUT027"/>
    <x v="1"/>
    <x v="0"/>
    <x v="3"/>
    <n v="6.0805497E-2"/>
    <n v="0"/>
    <n v="150.80240000000001"/>
    <n v="4.2"/>
  </r>
  <r>
    <x v="1"/>
    <n v="2631"/>
    <s v="FDC35"/>
    <x v="15"/>
    <x v="7"/>
    <s v="OUT027"/>
    <x v="1"/>
    <x v="0"/>
    <x v="3"/>
    <n v="0.122242847"/>
    <n v="0"/>
    <n v="207.56379999999999"/>
    <n v="4.2"/>
  </r>
  <r>
    <x v="0"/>
    <n v="2632"/>
    <s v="FDA35"/>
    <x v="13"/>
    <x v="7"/>
    <s v="OUT027"/>
    <x v="1"/>
    <x v="0"/>
    <x v="3"/>
    <n v="5.3576850000000002E-2"/>
    <n v="0"/>
    <n v="122.2072"/>
    <n v="4.2"/>
  </r>
  <r>
    <x v="0"/>
    <n v="2633"/>
    <s v="FDM24"/>
    <x v="13"/>
    <x v="7"/>
    <s v="OUT027"/>
    <x v="1"/>
    <x v="0"/>
    <x v="3"/>
    <n v="7.8943220999999994E-2"/>
    <n v="0"/>
    <n v="152.73660000000001"/>
    <n v="4.2"/>
  </r>
  <r>
    <x v="0"/>
    <n v="2634"/>
    <s v="FDU12"/>
    <x v="13"/>
    <x v="7"/>
    <s v="OUT027"/>
    <x v="1"/>
    <x v="0"/>
    <x v="3"/>
    <n v="7.5384242000000004E-2"/>
    <n v="0"/>
    <n v="262.7568"/>
    <n v="4.2"/>
  </r>
  <r>
    <x v="0"/>
    <n v="2635"/>
    <s v="FDT11"/>
    <x v="8"/>
    <x v="7"/>
    <s v="OUT027"/>
    <x v="1"/>
    <x v="0"/>
    <x v="3"/>
    <n v="2.923013E-2"/>
    <n v="0"/>
    <n v="189.4556"/>
    <n v="4.2"/>
  </r>
  <r>
    <x v="0"/>
    <n v="2636"/>
    <s v="FDE50"/>
    <x v="3"/>
    <x v="7"/>
    <s v="OUT027"/>
    <x v="1"/>
    <x v="0"/>
    <x v="3"/>
    <n v="1.612717E-2"/>
    <n v="0"/>
    <n v="189.35560000000001"/>
    <n v="4.2"/>
  </r>
  <r>
    <x v="0"/>
    <n v="2637"/>
    <s v="FDY37"/>
    <x v="3"/>
    <x v="7"/>
    <s v="OUT027"/>
    <x v="1"/>
    <x v="0"/>
    <x v="3"/>
    <n v="2.6440214E-2"/>
    <n v="0"/>
    <n v="143.64699999999999"/>
    <n v="4.2"/>
  </r>
  <r>
    <x v="0"/>
    <n v="2638"/>
    <s v="FDI27"/>
    <x v="11"/>
    <x v="7"/>
    <s v="OUT027"/>
    <x v="1"/>
    <x v="0"/>
    <x v="3"/>
    <n v="4.5763623000000003E-2"/>
    <n v="0"/>
    <n v="43.874400000000001"/>
    <n v="4.2"/>
  </r>
  <r>
    <x v="0"/>
    <n v="2639"/>
    <s v="FDL39"/>
    <x v="11"/>
    <x v="7"/>
    <s v="OUT027"/>
    <x v="1"/>
    <x v="0"/>
    <x v="3"/>
    <n v="6.3024670000000005E-2"/>
    <n v="0"/>
    <n v="181.6318"/>
    <n v="4.2"/>
  </r>
  <r>
    <x v="0"/>
    <n v="2640"/>
    <s v="FDW26"/>
    <x v="11"/>
    <x v="7"/>
    <s v="OUT027"/>
    <x v="1"/>
    <x v="0"/>
    <x v="3"/>
    <n v="0.106538757"/>
    <n v="0"/>
    <n v="222.37719999999999"/>
    <n v="4.2"/>
  </r>
  <r>
    <x v="0"/>
    <n v="2641"/>
    <s v="FDE05"/>
    <x v="2"/>
    <x v="7"/>
    <s v="OUT027"/>
    <x v="1"/>
    <x v="0"/>
    <x v="3"/>
    <n v="3.2296885999999997E-2"/>
    <n v="0"/>
    <n v="144.0102"/>
    <n v="4.2"/>
  </r>
  <r>
    <x v="0"/>
    <n v="2642"/>
    <s v="FDW04"/>
    <x v="2"/>
    <x v="7"/>
    <s v="OUT027"/>
    <x v="1"/>
    <x v="0"/>
    <x v="3"/>
    <n v="0"/>
    <n v="0"/>
    <n v="130.53100000000001"/>
    <n v="4.2"/>
  </r>
  <r>
    <x v="0"/>
    <n v="2643"/>
    <s v="FDR55"/>
    <x v="0"/>
    <x v="7"/>
    <s v="OUT027"/>
    <x v="1"/>
    <x v="0"/>
    <x v="3"/>
    <n v="0.13144392099999999"/>
    <n v="0"/>
    <n v="189.18719999999999"/>
    <n v="4.2"/>
  </r>
  <r>
    <x v="0"/>
    <n v="2644"/>
    <s v="FDZ43"/>
    <x v="0"/>
    <x v="7"/>
    <s v="OUT027"/>
    <x v="1"/>
    <x v="0"/>
    <x v="3"/>
    <n v="5.6782236999999999E-2"/>
    <n v="0"/>
    <n v="241.25120000000001"/>
    <n v="4.2"/>
  </r>
  <r>
    <x v="0"/>
    <n v="2645"/>
    <s v="FDE10"/>
    <x v="6"/>
    <x v="7"/>
    <s v="OUT027"/>
    <x v="1"/>
    <x v="0"/>
    <x v="3"/>
    <n v="8.9512542E-2"/>
    <n v="0"/>
    <n v="133.1626"/>
    <n v="4.2"/>
  </r>
  <r>
    <x v="0"/>
    <n v="2646"/>
    <s v="FDJ58"/>
    <x v="6"/>
    <x v="7"/>
    <s v="OUT027"/>
    <x v="1"/>
    <x v="0"/>
    <x v="3"/>
    <n v="0.104786172"/>
    <n v="0"/>
    <n v="172.2764"/>
    <n v="4.2"/>
  </r>
  <r>
    <x v="0"/>
    <n v="2647"/>
    <s v="FDM22"/>
    <x v="6"/>
    <x v="7"/>
    <s v="OUT027"/>
    <x v="1"/>
    <x v="0"/>
    <x v="3"/>
    <n v="4.1754583999999997E-2"/>
    <n v="0"/>
    <n v="53.463999999999999"/>
    <n v="4.2"/>
  </r>
  <r>
    <x v="0"/>
    <n v="2648"/>
    <s v="FDU21"/>
    <x v="6"/>
    <x v="7"/>
    <s v="OUT027"/>
    <x v="1"/>
    <x v="0"/>
    <x v="3"/>
    <n v="7.6348932999999994E-2"/>
    <n v="0"/>
    <n v="32.855800000000002"/>
    <n v="4.2"/>
  </r>
  <r>
    <x v="1"/>
    <n v="2649"/>
    <s v="FDA15"/>
    <x v="11"/>
    <x v="0"/>
    <s v="OUT049"/>
    <x v="0"/>
    <x v="0"/>
    <x v="0"/>
    <n v="1.6047301E-2"/>
    <n v="9.3000000000000007"/>
    <n v="249.8092"/>
    <n v="4.0999999999999996"/>
  </r>
  <r>
    <x v="0"/>
    <n v="2650"/>
    <s v="FDW12"/>
    <x v="13"/>
    <x v="7"/>
    <s v="OUT027"/>
    <x v="1"/>
    <x v="0"/>
    <x v="3"/>
    <n v="3.5399923E-2"/>
    <n v="0"/>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n v="0"/>
    <n v="87.985600000000005"/>
    <n v="4.0999999999999996"/>
  </r>
  <r>
    <x v="1"/>
    <n v="2667"/>
    <s v="FDY31"/>
    <x v="0"/>
    <x v="7"/>
    <s v="OUT027"/>
    <x v="1"/>
    <x v="0"/>
    <x v="3"/>
    <n v="4.3351896000000001E-2"/>
    <n v="0"/>
    <n v="146.64179999999999"/>
    <n v="4.0999999999999996"/>
  </r>
  <r>
    <x v="0"/>
    <n v="2668"/>
    <s v="FDO01"/>
    <x v="12"/>
    <x v="7"/>
    <s v="OUT027"/>
    <x v="1"/>
    <x v="0"/>
    <x v="3"/>
    <n v="2.0618324E-2"/>
    <n v="0"/>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n v="0"/>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n v="0"/>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n v="0"/>
    <n v="181.39500000000001"/>
    <n v="4.0999999999999996"/>
  </r>
  <r>
    <x v="1"/>
    <n v="2705"/>
    <s v="FDW56"/>
    <x v="0"/>
    <x v="6"/>
    <s v="OUT010"/>
    <x v="1"/>
    <x v="0"/>
    <x v="2"/>
    <n v="0.11867253699999999"/>
    <n v="7.68"/>
    <n v="192.21619999999999"/>
    <n v="4.0999999999999996"/>
  </r>
  <r>
    <x v="0"/>
    <n v="2706"/>
    <s v="FDM36"/>
    <x v="13"/>
    <x v="7"/>
    <s v="OUT027"/>
    <x v="1"/>
    <x v="0"/>
    <x v="3"/>
    <n v="5.8446423999999997E-2"/>
    <n v="0"/>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n v="0"/>
    <n v="102.9332"/>
    <n v="4.0999999999999996"/>
  </r>
  <r>
    <x v="1"/>
    <n v="2753"/>
    <s v="FDW01"/>
    <x v="3"/>
    <x v="7"/>
    <s v="OUT019"/>
    <x v="0"/>
    <x v="1"/>
    <x v="2"/>
    <n v="0.112161697"/>
    <n v="0"/>
    <n v="154.4682"/>
    <n v="4.0999999999999996"/>
  </r>
  <r>
    <x v="1"/>
    <n v="2754"/>
    <s v="FDF52"/>
    <x v="2"/>
    <x v="7"/>
    <s v="OUT019"/>
    <x v="0"/>
    <x v="1"/>
    <x v="2"/>
    <n v="0.116928924"/>
    <n v="0"/>
    <n v="183.32919999999999"/>
    <n v="4.0999999999999996"/>
  </r>
  <r>
    <x v="1"/>
    <n v="2755"/>
    <s v="FDO28"/>
    <x v="2"/>
    <x v="7"/>
    <s v="OUT019"/>
    <x v="0"/>
    <x v="1"/>
    <x v="2"/>
    <n v="0.12658509500000001"/>
    <n v="0"/>
    <n v="122.4098"/>
    <n v="4.0999999999999996"/>
  </r>
  <r>
    <x v="1"/>
    <n v="2756"/>
    <s v="NCA53"/>
    <x v="1"/>
    <x v="7"/>
    <s v="OUT019"/>
    <x v="0"/>
    <x v="1"/>
    <x v="2"/>
    <n v="1.7295906E-2"/>
    <n v="0"/>
    <n v="47.103400000000001"/>
    <n v="4.0999999999999996"/>
  </r>
  <r>
    <x v="1"/>
    <n v="2757"/>
    <s v="NCL41"/>
    <x v="1"/>
    <x v="7"/>
    <s v="OUT019"/>
    <x v="0"/>
    <x v="1"/>
    <x v="2"/>
    <n v="7.3077196999999997E-2"/>
    <n v="0"/>
    <n v="34.321599999999997"/>
    <n v="4.0999999999999996"/>
  </r>
  <r>
    <x v="1"/>
    <n v="2758"/>
    <s v="NCS29"/>
    <x v="1"/>
    <x v="7"/>
    <s v="OUT019"/>
    <x v="0"/>
    <x v="1"/>
    <x v="2"/>
    <n v="0.121765124"/>
    <n v="0"/>
    <n v="264.1884"/>
    <n v="4.0999999999999996"/>
  </r>
  <r>
    <x v="1"/>
    <n v="2759"/>
    <s v="NCZ05"/>
    <x v="1"/>
    <x v="7"/>
    <s v="OUT019"/>
    <x v="0"/>
    <x v="1"/>
    <x v="2"/>
    <n v="0.10178199"/>
    <n v="0"/>
    <n v="104.699"/>
    <n v="4.0999999999999996"/>
  </r>
  <r>
    <x v="1"/>
    <n v="2760"/>
    <s v="NCH07"/>
    <x v="5"/>
    <x v="7"/>
    <s v="OUT019"/>
    <x v="0"/>
    <x v="1"/>
    <x v="2"/>
    <n v="0.162248011"/>
    <n v="0"/>
    <n v="160.46039999999999"/>
    <n v="4.0999999999999996"/>
  </r>
  <r>
    <x v="1"/>
    <n v="2761"/>
    <s v="NCM54"/>
    <x v="5"/>
    <x v="7"/>
    <s v="OUT019"/>
    <x v="0"/>
    <x v="1"/>
    <x v="2"/>
    <n v="8.9187719999999998E-2"/>
    <n v="0"/>
    <n v="128.96780000000001"/>
    <n v="4.0999999999999996"/>
  </r>
  <r>
    <x v="1"/>
    <n v="2762"/>
    <s v="NCQ42"/>
    <x v="5"/>
    <x v="7"/>
    <s v="OUT019"/>
    <x v="0"/>
    <x v="1"/>
    <x v="2"/>
    <n v="6.8753558000000006E-2"/>
    <n v="0"/>
    <n v="127.9678"/>
    <n v="4.0999999999999996"/>
  </r>
  <r>
    <x v="1"/>
    <n v="2763"/>
    <s v="NCW42"/>
    <x v="5"/>
    <x v="7"/>
    <s v="OUT019"/>
    <x v="0"/>
    <x v="1"/>
    <x v="2"/>
    <n v="0.102371638"/>
    <n v="0"/>
    <n v="221.2456"/>
    <n v="4.0999999999999996"/>
  </r>
  <r>
    <x v="1"/>
    <n v="2764"/>
    <s v="FDK45"/>
    <x v="14"/>
    <x v="7"/>
    <s v="OUT019"/>
    <x v="0"/>
    <x v="1"/>
    <x v="2"/>
    <n v="5.9281315000000001E-2"/>
    <n v="0"/>
    <n v="111.586"/>
    <n v="4.0999999999999996"/>
  </r>
  <r>
    <x v="1"/>
    <n v="2765"/>
    <s v="FDC47"/>
    <x v="6"/>
    <x v="7"/>
    <s v="OUT019"/>
    <x v="0"/>
    <x v="1"/>
    <x v="2"/>
    <n v="0.20816215599999999"/>
    <n v="0"/>
    <n v="228.1694"/>
    <n v="4.0999999999999996"/>
  </r>
  <r>
    <x v="1"/>
    <n v="2766"/>
    <s v="FDD46"/>
    <x v="6"/>
    <x v="7"/>
    <s v="OUT019"/>
    <x v="0"/>
    <x v="1"/>
    <x v="2"/>
    <n v="0.24732103899999999"/>
    <n v="0"/>
    <n v="152.3998"/>
    <n v="4.0999999999999996"/>
  </r>
  <r>
    <x v="1"/>
    <n v="2767"/>
    <s v="FDH34"/>
    <x v="6"/>
    <x v="7"/>
    <s v="OUT019"/>
    <x v="0"/>
    <x v="1"/>
    <x v="2"/>
    <n v="5.4443762E-2"/>
    <n v="0"/>
    <n v="184.65819999999999"/>
    <n v="4.0999999999999996"/>
  </r>
  <r>
    <x v="1"/>
    <n v="2768"/>
    <s v="FDQ57"/>
    <x v="6"/>
    <x v="7"/>
    <s v="OUT019"/>
    <x v="0"/>
    <x v="1"/>
    <x v="2"/>
    <n v="4.8932713000000003E-2"/>
    <n v="0"/>
    <n v="144.476"/>
    <n v="4.0999999999999996"/>
  </r>
  <r>
    <x v="1"/>
    <n v="2769"/>
    <s v="FDR46"/>
    <x v="6"/>
    <x v="7"/>
    <s v="OUT019"/>
    <x v="0"/>
    <x v="1"/>
    <x v="2"/>
    <n v="0.24410231499999999"/>
    <n v="0"/>
    <n v="148.07599999999999"/>
    <n v="4.0999999999999996"/>
  </r>
  <r>
    <x v="1"/>
    <n v="2770"/>
    <s v="FDV09"/>
    <x v="6"/>
    <x v="7"/>
    <s v="OUT019"/>
    <x v="0"/>
    <x v="1"/>
    <x v="2"/>
    <n v="3.6012918999999997E-2"/>
    <n v="0"/>
    <n v="148.07339999999999"/>
    <n v="4.0999999999999996"/>
  </r>
  <r>
    <x v="1"/>
    <n v="2771"/>
    <s v="FDZ10"/>
    <x v="6"/>
    <x v="7"/>
    <s v="OUT019"/>
    <x v="0"/>
    <x v="1"/>
    <x v="2"/>
    <n v="7.7849832999999993E-2"/>
    <n v="0"/>
    <n v="127.202"/>
    <n v="4.0999999999999996"/>
  </r>
  <r>
    <x v="0"/>
    <n v="2772"/>
    <s v="FDB49"/>
    <x v="13"/>
    <x v="7"/>
    <s v="OUT019"/>
    <x v="0"/>
    <x v="1"/>
    <x v="2"/>
    <n v="5.2791124000000002E-2"/>
    <n v="0"/>
    <n v="98.538399999999996"/>
    <n v="4.0999999999999996"/>
  </r>
  <r>
    <x v="0"/>
    <n v="2773"/>
    <s v="FDR12"/>
    <x v="13"/>
    <x v="7"/>
    <s v="OUT019"/>
    <x v="0"/>
    <x v="1"/>
    <x v="2"/>
    <n v="5.5213281000000003E-2"/>
    <n v="0"/>
    <n v="172.47640000000001"/>
    <n v="4.0999999999999996"/>
  </r>
  <r>
    <x v="0"/>
    <n v="2774"/>
    <s v="FDX47"/>
    <x v="8"/>
    <x v="7"/>
    <s v="OUT019"/>
    <x v="0"/>
    <x v="1"/>
    <x v="2"/>
    <n v="6.0587738000000002E-2"/>
    <n v="0"/>
    <n v="156.8288"/>
    <n v="4.0999999999999996"/>
  </r>
  <r>
    <x v="0"/>
    <n v="2775"/>
    <s v="FDK26"/>
    <x v="3"/>
    <x v="7"/>
    <s v="OUT019"/>
    <x v="0"/>
    <x v="1"/>
    <x v="2"/>
    <n v="5.6338482000000002E-2"/>
    <n v="0"/>
    <n v="184.624"/>
    <n v="4.0999999999999996"/>
  </r>
  <r>
    <x v="0"/>
    <n v="2776"/>
    <s v="FDV01"/>
    <x v="3"/>
    <x v="7"/>
    <s v="OUT019"/>
    <x v="0"/>
    <x v="1"/>
    <x v="2"/>
    <n v="0.148737487"/>
    <n v="0"/>
    <n v="155.13140000000001"/>
    <n v="4.0999999999999996"/>
  </r>
  <r>
    <x v="0"/>
    <n v="2777"/>
    <s v="FDB04"/>
    <x v="11"/>
    <x v="7"/>
    <s v="OUT019"/>
    <x v="0"/>
    <x v="1"/>
    <x v="2"/>
    <n v="0.1107011"/>
    <n v="0"/>
    <n v="88.685599999999994"/>
    <n v="4.0999999999999996"/>
  </r>
  <r>
    <x v="0"/>
    <n v="2778"/>
    <s v="FDF57"/>
    <x v="0"/>
    <x v="7"/>
    <s v="OUT019"/>
    <x v="0"/>
    <x v="1"/>
    <x v="2"/>
    <n v="0.102999154"/>
    <n v="0"/>
    <n v="169.94479999999999"/>
    <n v="4.0999999999999996"/>
  </r>
  <r>
    <x v="0"/>
    <n v="2779"/>
    <s v="FDQ08"/>
    <x v="0"/>
    <x v="7"/>
    <s v="OUT019"/>
    <x v="0"/>
    <x v="1"/>
    <x v="2"/>
    <n v="3.3144603000000002E-2"/>
    <n v="0"/>
    <n v="62.753599999999999"/>
    <n v="4.0999999999999996"/>
  </r>
  <r>
    <x v="0"/>
    <n v="2780"/>
    <s v="FDU44"/>
    <x v="0"/>
    <x v="7"/>
    <s v="OUT019"/>
    <x v="0"/>
    <x v="1"/>
    <x v="2"/>
    <n v="0.10229590399999999"/>
    <n v="0"/>
    <n v="162.3552"/>
    <n v="4.0999999999999996"/>
  </r>
  <r>
    <x v="0"/>
    <n v="2781"/>
    <s v="FDX32"/>
    <x v="0"/>
    <x v="7"/>
    <s v="OUT019"/>
    <x v="0"/>
    <x v="1"/>
    <x v="2"/>
    <n v="0.17483889999999999"/>
    <n v="0"/>
    <n v="142.87860000000001"/>
    <n v="4.0999999999999996"/>
  </r>
  <r>
    <x v="0"/>
    <n v="2782"/>
    <s v="FDS27"/>
    <x v="7"/>
    <x v="7"/>
    <s v="OUT019"/>
    <x v="0"/>
    <x v="1"/>
    <x v="2"/>
    <n v="2.1812600000000001E-2"/>
    <n v="0"/>
    <n v="194.71100000000001"/>
    <n v="4.0999999999999996"/>
  </r>
  <r>
    <x v="0"/>
    <n v="2783"/>
    <s v="FDO10"/>
    <x v="6"/>
    <x v="7"/>
    <s v="OUT019"/>
    <x v="0"/>
    <x v="1"/>
    <x v="2"/>
    <n v="0"/>
    <n v="0"/>
    <n v="58.758800000000001"/>
    <n v="4.0999999999999996"/>
  </r>
  <r>
    <x v="0"/>
    <n v="2784"/>
    <s v="FDY16"/>
    <x v="2"/>
    <x v="7"/>
    <s v="OUT019"/>
    <x v="0"/>
    <x v="1"/>
    <x v="2"/>
    <n v="0.16147713999999999"/>
    <n v="0"/>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n v="0"/>
    <n v="148.70500000000001"/>
    <n v="4.0999999999999996"/>
  </r>
  <r>
    <x v="1"/>
    <n v="3129"/>
    <s v="NCZ30"/>
    <x v="5"/>
    <x v="7"/>
    <s v="OUT027"/>
    <x v="1"/>
    <x v="0"/>
    <x v="3"/>
    <n v="2.6058181E-2"/>
    <n v="0"/>
    <n v="121.9098"/>
    <n v="4.0999999999999996"/>
  </r>
  <r>
    <x v="1"/>
    <n v="3130"/>
    <s v="FDA39"/>
    <x v="7"/>
    <x v="7"/>
    <s v="OUT027"/>
    <x v="1"/>
    <x v="0"/>
    <x v="3"/>
    <n v="1.2656359000000001E-2"/>
    <n v="0"/>
    <n v="37.882199999999997"/>
    <n v="4.0999999999999996"/>
  </r>
  <r>
    <x v="1"/>
    <n v="3131"/>
    <s v="FDV03"/>
    <x v="7"/>
    <x v="7"/>
    <s v="OUT027"/>
    <x v="1"/>
    <x v="0"/>
    <x v="3"/>
    <n v="5.7809959000000001E-2"/>
    <n v="0"/>
    <n v="156.23140000000001"/>
    <n v="4.0999999999999996"/>
  </r>
  <r>
    <x v="1"/>
    <n v="3132"/>
    <s v="FDM14"/>
    <x v="3"/>
    <x v="7"/>
    <s v="OUT027"/>
    <x v="1"/>
    <x v="0"/>
    <x v="3"/>
    <n v="1.3199737E-2"/>
    <n v="0"/>
    <n v="108.9254"/>
    <n v="4.0999999999999996"/>
  </r>
  <r>
    <x v="1"/>
    <n v="3133"/>
    <s v="FDP25"/>
    <x v="3"/>
    <x v="7"/>
    <s v="OUT027"/>
    <x v="1"/>
    <x v="0"/>
    <x v="3"/>
    <n v="2.110482E-2"/>
    <n v="0"/>
    <n v="217.08240000000001"/>
    <n v="4.0999999999999996"/>
  </r>
  <r>
    <x v="1"/>
    <n v="3134"/>
    <s v="FDP38"/>
    <x v="3"/>
    <x v="7"/>
    <s v="OUT027"/>
    <x v="1"/>
    <x v="0"/>
    <x v="3"/>
    <n v="3.1946637999999999E-2"/>
    <n v="0"/>
    <n v="51.6008"/>
    <n v="4.0999999999999996"/>
  </r>
  <r>
    <x v="1"/>
    <n v="3135"/>
    <s v="FDF16"/>
    <x v="2"/>
    <x v="7"/>
    <s v="OUT027"/>
    <x v="1"/>
    <x v="0"/>
    <x v="3"/>
    <n v="8.5715272999999995E-2"/>
    <n v="0"/>
    <n v="146.60759999999999"/>
    <n v="4.0999999999999996"/>
  </r>
  <r>
    <x v="1"/>
    <n v="3136"/>
    <s v="FDT20"/>
    <x v="0"/>
    <x v="7"/>
    <s v="OUT027"/>
    <x v="1"/>
    <x v="0"/>
    <x v="3"/>
    <n v="4.1194986000000003E-2"/>
    <n v="0"/>
    <n v="39.116399999999999"/>
    <n v="4.0999999999999996"/>
  </r>
  <r>
    <x v="1"/>
    <n v="3137"/>
    <s v="FDV07"/>
    <x v="0"/>
    <x v="7"/>
    <s v="OUT027"/>
    <x v="1"/>
    <x v="0"/>
    <x v="3"/>
    <n v="3.1131454999999999E-2"/>
    <n v="0"/>
    <n v="111.0228"/>
    <n v="4.0999999999999996"/>
  </r>
  <r>
    <x v="1"/>
    <n v="3138"/>
    <s v="DRM35"/>
    <x v="9"/>
    <x v="7"/>
    <s v="OUT027"/>
    <x v="1"/>
    <x v="0"/>
    <x v="3"/>
    <n v="7.0103424999999997E-2"/>
    <n v="0"/>
    <n v="179.43440000000001"/>
    <n v="4.0999999999999996"/>
  </r>
  <r>
    <x v="1"/>
    <n v="3139"/>
    <s v="NCB06"/>
    <x v="1"/>
    <x v="7"/>
    <s v="OUT027"/>
    <x v="1"/>
    <x v="0"/>
    <x v="3"/>
    <n v="8.1933378000000001E-2"/>
    <n v="0"/>
    <n v="161.49199999999999"/>
    <n v="4.0999999999999996"/>
  </r>
  <r>
    <x v="1"/>
    <n v="3140"/>
    <s v="NCU17"/>
    <x v="1"/>
    <x v="7"/>
    <s v="OUT027"/>
    <x v="1"/>
    <x v="0"/>
    <x v="3"/>
    <n v="9.2433518000000006E-2"/>
    <n v="0"/>
    <n v="101.6674"/>
    <n v="4.0999999999999996"/>
  </r>
  <r>
    <x v="1"/>
    <n v="3141"/>
    <s v="NCB19"/>
    <x v="5"/>
    <x v="7"/>
    <s v="OUT027"/>
    <x v="1"/>
    <x v="0"/>
    <x v="3"/>
    <n v="8.9858446999999994E-2"/>
    <n v="0"/>
    <n v="84.588200000000001"/>
    <n v="4.0999999999999996"/>
  </r>
  <r>
    <x v="1"/>
    <n v="3142"/>
    <s v="NCM54"/>
    <x v="5"/>
    <x v="7"/>
    <s v="OUT027"/>
    <x v="1"/>
    <x v="0"/>
    <x v="3"/>
    <n v="5.0692385999999999E-2"/>
    <n v="0"/>
    <n v="125.6678"/>
    <n v="4.0999999999999996"/>
  </r>
  <r>
    <x v="1"/>
    <n v="3143"/>
    <s v="NCR18"/>
    <x v="5"/>
    <x v="7"/>
    <s v="OUT027"/>
    <x v="1"/>
    <x v="0"/>
    <x v="3"/>
    <n v="2.0388413000000001E-2"/>
    <n v="0"/>
    <n v="44.411200000000001"/>
    <n v="4.0999999999999996"/>
  </r>
  <r>
    <x v="1"/>
    <n v="3144"/>
    <s v="NCS06"/>
    <x v="5"/>
    <x v="7"/>
    <s v="OUT027"/>
    <x v="1"/>
    <x v="0"/>
    <x v="3"/>
    <n v="3.1583053E-2"/>
    <n v="0"/>
    <n v="260.99099999999999"/>
    <n v="4.0999999999999996"/>
  </r>
  <r>
    <x v="1"/>
    <n v="3145"/>
    <s v="FDS03"/>
    <x v="7"/>
    <x v="7"/>
    <s v="OUT027"/>
    <x v="1"/>
    <x v="0"/>
    <x v="3"/>
    <n v="7.9243005000000005E-2"/>
    <n v="0"/>
    <n v="65.882599999999996"/>
    <n v="4.0999999999999996"/>
  </r>
  <r>
    <x v="1"/>
    <n v="3146"/>
    <s v="NCL31"/>
    <x v="10"/>
    <x v="7"/>
    <s v="OUT027"/>
    <x v="1"/>
    <x v="0"/>
    <x v="3"/>
    <n v="0.119698523"/>
    <n v="0"/>
    <n v="143.047"/>
    <n v="4.0999999999999996"/>
  </r>
  <r>
    <x v="1"/>
    <n v="3147"/>
    <s v="NCO55"/>
    <x v="10"/>
    <x v="7"/>
    <s v="OUT027"/>
    <x v="1"/>
    <x v="0"/>
    <x v="3"/>
    <n v="9.0596378000000005E-2"/>
    <n v="0"/>
    <n v="106.6938"/>
    <n v="4.0999999999999996"/>
  </r>
  <r>
    <x v="1"/>
    <n v="3148"/>
    <s v="FDH09"/>
    <x v="14"/>
    <x v="7"/>
    <s v="OUT027"/>
    <x v="1"/>
    <x v="0"/>
    <x v="3"/>
    <n v="5.5806016E-2"/>
    <n v="0"/>
    <n v="52.498199999999997"/>
    <n v="4.0999999999999996"/>
  </r>
  <r>
    <x v="1"/>
    <n v="3149"/>
    <s v="FDT22"/>
    <x v="6"/>
    <x v="7"/>
    <s v="OUT027"/>
    <x v="1"/>
    <x v="0"/>
    <x v="3"/>
    <n v="0.11155438099999999"/>
    <n v="0"/>
    <n v="59.822000000000003"/>
    <n v="4.0999999999999996"/>
  </r>
  <r>
    <x v="1"/>
    <n v="3150"/>
    <s v="FDW45"/>
    <x v="6"/>
    <x v="7"/>
    <s v="OUT027"/>
    <x v="1"/>
    <x v="0"/>
    <x v="3"/>
    <n v="3.8822077000000003E-2"/>
    <n v="0"/>
    <n v="147.74180000000001"/>
    <n v="4.0999999999999996"/>
  </r>
  <r>
    <x v="1"/>
    <n v="3151"/>
    <s v="DRC25"/>
    <x v="4"/>
    <x v="7"/>
    <s v="OUT027"/>
    <x v="1"/>
    <x v="0"/>
    <x v="3"/>
    <n v="0"/>
    <n v="0"/>
    <n v="87.388199999999998"/>
    <n v="4.0999999999999996"/>
  </r>
  <r>
    <x v="1"/>
    <n v="3152"/>
    <s v="DRD12"/>
    <x v="4"/>
    <x v="7"/>
    <s v="OUT027"/>
    <x v="1"/>
    <x v="0"/>
    <x v="3"/>
    <n v="0"/>
    <n v="0"/>
    <n v="89.414599999999993"/>
    <n v="4.0999999999999996"/>
  </r>
  <r>
    <x v="1"/>
    <n v="3153"/>
    <s v="DRG48"/>
    <x v="4"/>
    <x v="7"/>
    <s v="OUT027"/>
    <x v="1"/>
    <x v="0"/>
    <x v="3"/>
    <n v="1.4484581999999999E-2"/>
    <n v="0"/>
    <n v="143.9102"/>
    <n v="4.0999999999999996"/>
  </r>
  <r>
    <x v="1"/>
    <n v="3154"/>
    <s v="FDD35"/>
    <x v="15"/>
    <x v="7"/>
    <s v="OUT027"/>
    <x v="1"/>
    <x v="0"/>
    <x v="3"/>
    <n v="2.573918E-2"/>
    <n v="0"/>
    <n v="120.744"/>
    <n v="4.0999999999999996"/>
  </r>
  <r>
    <x v="0"/>
    <n v="3155"/>
    <s v="FDL12"/>
    <x v="13"/>
    <x v="7"/>
    <s v="OUT027"/>
    <x v="1"/>
    <x v="0"/>
    <x v="3"/>
    <n v="0.121043709"/>
    <n v="0"/>
    <n v="59.421999999999997"/>
    <n v="4.0999999999999996"/>
  </r>
  <r>
    <x v="0"/>
    <n v="3156"/>
    <s v="FDH02"/>
    <x v="3"/>
    <x v="7"/>
    <s v="OUT027"/>
    <x v="1"/>
    <x v="0"/>
    <x v="3"/>
    <n v="0"/>
    <n v="0"/>
    <n v="91.848799999999997"/>
    <n v="4.0999999999999996"/>
  </r>
  <r>
    <x v="0"/>
    <n v="3157"/>
    <s v="FDJ26"/>
    <x v="3"/>
    <x v="7"/>
    <s v="OUT027"/>
    <x v="1"/>
    <x v="0"/>
    <x v="3"/>
    <n v="8.4354712999999998E-2"/>
    <n v="0"/>
    <n v="215.52180000000001"/>
    <n v="4.0999999999999996"/>
  </r>
  <r>
    <x v="0"/>
    <n v="3158"/>
    <s v="FDC16"/>
    <x v="11"/>
    <x v="7"/>
    <s v="OUT027"/>
    <x v="1"/>
    <x v="0"/>
    <x v="3"/>
    <n v="2.0470200000000001E-2"/>
    <n v="0"/>
    <n v="88.254000000000005"/>
    <n v="4.0999999999999996"/>
  </r>
  <r>
    <x v="0"/>
    <n v="3159"/>
    <s v="FDW02"/>
    <x v="11"/>
    <x v="7"/>
    <s v="OUT027"/>
    <x v="1"/>
    <x v="0"/>
    <x v="3"/>
    <n v="3.7516861999999998E-2"/>
    <n v="0"/>
    <n v="124.3704"/>
    <n v="4.0999999999999996"/>
  </r>
  <r>
    <x v="0"/>
    <n v="3160"/>
    <s v="FDA28"/>
    <x v="2"/>
    <x v="7"/>
    <s v="OUT027"/>
    <x v="1"/>
    <x v="0"/>
    <x v="3"/>
    <n v="4.7570400999999998E-2"/>
    <n v="0"/>
    <n v="125.7362"/>
    <n v="4.0999999999999996"/>
  </r>
  <r>
    <x v="0"/>
    <n v="3161"/>
    <s v="FDN04"/>
    <x v="2"/>
    <x v="7"/>
    <s v="OUT027"/>
    <x v="1"/>
    <x v="0"/>
    <x v="3"/>
    <n v="1.4018839999999999E-2"/>
    <n v="0"/>
    <n v="178.1344"/>
    <n v="4.0999999999999996"/>
  </r>
  <r>
    <x v="0"/>
    <n v="3162"/>
    <s v="FDQ40"/>
    <x v="2"/>
    <x v="7"/>
    <s v="OUT027"/>
    <x v="1"/>
    <x v="0"/>
    <x v="3"/>
    <n v="3.5853059E-2"/>
    <n v="0"/>
    <n v="176.87119999999999"/>
    <n v="4.0999999999999996"/>
  </r>
  <r>
    <x v="0"/>
    <n v="3163"/>
    <s v="FDS28"/>
    <x v="2"/>
    <x v="7"/>
    <s v="OUT027"/>
    <x v="1"/>
    <x v="0"/>
    <x v="3"/>
    <n v="8.2002559000000003E-2"/>
    <n v="0"/>
    <n v="59.258800000000001"/>
    <n v="4.0999999999999996"/>
  </r>
  <r>
    <x v="0"/>
    <n v="3164"/>
    <s v="FDA55"/>
    <x v="0"/>
    <x v="7"/>
    <s v="OUT027"/>
    <x v="1"/>
    <x v="0"/>
    <x v="3"/>
    <n v="5.6713055999999998E-2"/>
    <n v="0"/>
    <n v="223.80879999999999"/>
    <n v="4.0999999999999996"/>
  </r>
  <r>
    <x v="0"/>
    <n v="3165"/>
    <s v="FDB56"/>
    <x v="0"/>
    <x v="7"/>
    <s v="OUT027"/>
    <x v="1"/>
    <x v="0"/>
    <x v="3"/>
    <n v="0"/>
    <n v="0"/>
    <n v="188.25559999999999"/>
    <n v="4.0999999999999996"/>
  </r>
  <r>
    <x v="0"/>
    <n v="3166"/>
    <s v="FDF44"/>
    <x v="0"/>
    <x v="7"/>
    <s v="OUT027"/>
    <x v="1"/>
    <x v="0"/>
    <x v="3"/>
    <n v="5.9438787E-2"/>
    <n v="0"/>
    <n v="130.99680000000001"/>
    <n v="4.0999999999999996"/>
  </r>
  <r>
    <x v="0"/>
    <n v="3167"/>
    <s v="FDF57"/>
    <x v="0"/>
    <x v="7"/>
    <s v="OUT027"/>
    <x v="1"/>
    <x v="0"/>
    <x v="3"/>
    <n v="5.8542509E-2"/>
    <n v="0"/>
    <n v="168.6448"/>
    <n v="4.0999999999999996"/>
  </r>
  <r>
    <x v="0"/>
    <n v="3168"/>
    <s v="FDG34"/>
    <x v="6"/>
    <x v="7"/>
    <s v="OUT027"/>
    <x v="1"/>
    <x v="0"/>
    <x v="3"/>
    <n v="3.7388493000000002E-2"/>
    <n v="0"/>
    <n v="107.8254"/>
    <n v="4.0999999999999996"/>
  </r>
  <r>
    <x v="0"/>
    <n v="3169"/>
    <s v="FDU46"/>
    <x v="6"/>
    <x v="7"/>
    <s v="OUT027"/>
    <x v="1"/>
    <x v="0"/>
    <x v="3"/>
    <n v="1.1072421000000001E-2"/>
    <n v="0"/>
    <n v="85.353999999999999"/>
    <n v="4.0999999999999996"/>
  </r>
  <r>
    <x v="0"/>
    <n v="3170"/>
    <s v="DRL01"/>
    <x v="4"/>
    <x v="7"/>
    <s v="OUT027"/>
    <x v="1"/>
    <x v="0"/>
    <x v="3"/>
    <n v="7.6798609000000004E-2"/>
    <n v="0"/>
    <n v="231.89580000000001"/>
    <n v="4.0999999999999996"/>
  </r>
  <r>
    <x v="0"/>
    <n v="3171"/>
    <s v="FDE35"/>
    <x v="15"/>
    <x v="7"/>
    <s v="OUT027"/>
    <x v="1"/>
    <x v="0"/>
    <x v="3"/>
    <n v="0"/>
    <n v="0"/>
    <n v="59.8904"/>
    <n v="4.0999999999999996"/>
  </r>
  <r>
    <x v="1"/>
    <n v="3172"/>
    <s v="FDM56"/>
    <x v="0"/>
    <x v="7"/>
    <s v="OUT027"/>
    <x v="1"/>
    <x v="0"/>
    <x v="3"/>
    <n v="6.9851682999999998E-2"/>
    <n v="0"/>
    <n v="110.99120000000001"/>
    <n v="4.0999999999999996"/>
  </r>
  <r>
    <x v="1"/>
    <n v="3173"/>
    <s v="FDP10"/>
    <x v="6"/>
    <x v="7"/>
    <s v="OUT027"/>
    <x v="1"/>
    <x v="0"/>
    <x v="3"/>
    <n v="0.12746985699999999"/>
    <n v="0"/>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n v="0"/>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n v="0"/>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n v="0"/>
    <n v="192.88460000000001"/>
    <n v="4"/>
  </r>
  <r>
    <x v="1"/>
    <n v="3193"/>
    <s v="FDY25"/>
    <x v="3"/>
    <x v="3"/>
    <s v="OUT013"/>
    <x v="1"/>
    <x v="2"/>
    <x v="0"/>
    <n v="3.3946163000000001E-2"/>
    <n v="12"/>
    <n v="179.39760000000001"/>
    <n v="4"/>
  </r>
  <r>
    <x v="1"/>
    <n v="3194"/>
    <s v="FDQ04"/>
    <x v="2"/>
    <x v="7"/>
    <s v="OUT019"/>
    <x v="0"/>
    <x v="1"/>
    <x v="2"/>
    <n v="0.148392623"/>
    <n v="0"/>
    <n v="41.579599999999999"/>
    <n v="4"/>
  </r>
  <r>
    <x v="0"/>
    <n v="3195"/>
    <s v="FDW04"/>
    <x v="2"/>
    <x v="2"/>
    <s v="OUT046"/>
    <x v="0"/>
    <x v="1"/>
    <x v="0"/>
    <n v="5.7827100999999999E-2"/>
    <n v="8.9849999999999994"/>
    <n v="128.83099999999999"/>
    <n v="4"/>
  </r>
  <r>
    <x v="1"/>
    <n v="3196"/>
    <s v="FDC41"/>
    <x v="2"/>
    <x v="7"/>
    <s v="OUT019"/>
    <x v="0"/>
    <x v="1"/>
    <x v="2"/>
    <n v="0.20469999999999999"/>
    <n v="0"/>
    <n v="76.867000000000004"/>
    <n v="4"/>
  </r>
  <r>
    <x v="1"/>
    <n v="3197"/>
    <s v="DRI01"/>
    <x v="4"/>
    <x v="2"/>
    <s v="OUT046"/>
    <x v="0"/>
    <x v="1"/>
    <x v="0"/>
    <n v="3.4452948999999997E-2"/>
    <n v="7.97"/>
    <n v="174.04220000000001"/>
    <n v="4"/>
  </r>
  <r>
    <x v="0"/>
    <n v="3198"/>
    <s v="FDN39"/>
    <x v="7"/>
    <x v="7"/>
    <s v="OUT027"/>
    <x v="1"/>
    <x v="0"/>
    <x v="3"/>
    <n v="6.5203102999999998E-2"/>
    <n v="0"/>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n v="0"/>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n v="0"/>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n v="0"/>
    <n v="120.3098"/>
    <n v="4"/>
  </r>
  <r>
    <x v="0"/>
    <n v="3239"/>
    <s v="FDK26"/>
    <x v="3"/>
    <x v="8"/>
    <s v="OUT035"/>
    <x v="2"/>
    <x v="1"/>
    <x v="0"/>
    <n v="3.2171320000000003E-2"/>
    <n v="5.46"/>
    <n v="184.82400000000001"/>
    <n v="4"/>
  </r>
  <r>
    <x v="1"/>
    <n v="3240"/>
    <s v="FDO36"/>
    <x v="13"/>
    <x v="7"/>
    <s v="OUT027"/>
    <x v="1"/>
    <x v="0"/>
    <x v="3"/>
    <n v="7.7536540000000001E-2"/>
    <n v="0"/>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n v="0"/>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n v="0"/>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n v="0"/>
    <n v="181.5976"/>
    <n v="4"/>
  </r>
  <r>
    <x v="1"/>
    <n v="3314"/>
    <s v="FDL36"/>
    <x v="13"/>
    <x v="7"/>
    <s v="OUT019"/>
    <x v="0"/>
    <x v="1"/>
    <x v="2"/>
    <n v="0.13319835499999999"/>
    <n v="0"/>
    <n v="91.082999999999998"/>
    <n v="4"/>
  </r>
  <r>
    <x v="1"/>
    <n v="3315"/>
    <s v="FDV23"/>
    <x v="8"/>
    <x v="7"/>
    <s v="OUT019"/>
    <x v="0"/>
    <x v="1"/>
    <x v="2"/>
    <n v="0.18530651400000001"/>
    <n v="0"/>
    <n v="125.6046"/>
    <n v="4"/>
  </r>
  <r>
    <x v="1"/>
    <n v="3316"/>
    <s v="FDO13"/>
    <x v="12"/>
    <x v="7"/>
    <s v="OUT019"/>
    <x v="0"/>
    <x v="1"/>
    <x v="2"/>
    <n v="0.106907604"/>
    <n v="0"/>
    <n v="162.8526"/>
    <n v="4"/>
  </r>
  <r>
    <x v="1"/>
    <n v="3317"/>
    <s v="FDE02"/>
    <x v="3"/>
    <x v="7"/>
    <s v="OUT019"/>
    <x v="0"/>
    <x v="1"/>
    <x v="2"/>
    <n v="0.212293753"/>
    <n v="0"/>
    <n v="92.277799999999999"/>
    <n v="4"/>
  </r>
  <r>
    <x v="1"/>
    <n v="3318"/>
    <s v="DRE15"/>
    <x v="11"/>
    <x v="7"/>
    <s v="OUT019"/>
    <x v="0"/>
    <x v="1"/>
    <x v="2"/>
    <n v="3.1139933000000002E-2"/>
    <n v="0"/>
    <n v="74.801199999999994"/>
    <n v="4"/>
  </r>
  <r>
    <x v="1"/>
    <n v="3319"/>
    <s v="FDA38"/>
    <x v="11"/>
    <x v="7"/>
    <s v="OUT019"/>
    <x v="0"/>
    <x v="1"/>
    <x v="2"/>
    <n v="4.461205E-2"/>
    <n v="0"/>
    <n v="241.15379999999999"/>
    <n v="4"/>
  </r>
  <r>
    <x v="1"/>
    <n v="3320"/>
    <s v="FDD39"/>
    <x v="11"/>
    <x v="7"/>
    <s v="OUT019"/>
    <x v="0"/>
    <x v="1"/>
    <x v="2"/>
    <n v="0.122832172"/>
    <n v="0"/>
    <n v="217.685"/>
    <n v="4"/>
  </r>
  <r>
    <x v="1"/>
    <n v="3321"/>
    <s v="FDD05"/>
    <x v="2"/>
    <x v="7"/>
    <s v="OUT019"/>
    <x v="0"/>
    <x v="1"/>
    <x v="2"/>
    <n v="2.9084548000000002E-2"/>
    <n v="0"/>
    <n v="122.0098"/>
    <n v="4"/>
  </r>
  <r>
    <x v="1"/>
    <n v="3322"/>
    <s v="FDM28"/>
    <x v="2"/>
    <x v="7"/>
    <s v="OUT019"/>
    <x v="0"/>
    <x v="1"/>
    <x v="2"/>
    <n v="7.9146113000000004E-2"/>
    <n v="0"/>
    <n v="181.46600000000001"/>
    <n v="4"/>
  </r>
  <r>
    <x v="1"/>
    <n v="3323"/>
    <s v="FDC45"/>
    <x v="0"/>
    <x v="7"/>
    <s v="OUT019"/>
    <x v="0"/>
    <x v="1"/>
    <x v="2"/>
    <n v="0.23765134399999999"/>
    <n v="0"/>
    <n v="170.2106"/>
    <n v="4"/>
  </r>
  <r>
    <x v="1"/>
    <n v="3324"/>
    <s v="FDL20"/>
    <x v="0"/>
    <x v="7"/>
    <s v="OUT019"/>
    <x v="0"/>
    <x v="1"/>
    <x v="2"/>
    <n v="0.22483730800000001"/>
    <n v="0"/>
    <n v="112.7886"/>
    <n v="4"/>
  </r>
  <r>
    <x v="1"/>
    <n v="3325"/>
    <s v="NCS53"/>
    <x v="1"/>
    <x v="7"/>
    <s v="OUT019"/>
    <x v="0"/>
    <x v="1"/>
    <x v="2"/>
    <n v="0.15719001699999999"/>
    <n v="0"/>
    <n v="156.8604"/>
    <n v="4"/>
  </r>
  <r>
    <x v="1"/>
    <n v="3326"/>
    <s v="NCW29"/>
    <x v="1"/>
    <x v="7"/>
    <s v="OUT019"/>
    <x v="0"/>
    <x v="1"/>
    <x v="2"/>
    <n v="5.0535311999999999E-2"/>
    <n v="0"/>
    <n v="130.03100000000001"/>
    <n v="4"/>
  </r>
  <r>
    <x v="1"/>
    <n v="3327"/>
    <s v="NCF19"/>
    <x v="5"/>
    <x v="7"/>
    <s v="OUT019"/>
    <x v="0"/>
    <x v="1"/>
    <x v="2"/>
    <n v="6.1470858000000003E-2"/>
    <n v="0"/>
    <n v="48.603400000000001"/>
    <n v="4"/>
  </r>
  <r>
    <x v="1"/>
    <n v="3328"/>
    <s v="NCF31"/>
    <x v="5"/>
    <x v="7"/>
    <s v="OUT019"/>
    <x v="0"/>
    <x v="1"/>
    <x v="2"/>
    <n v="9.0778148000000003E-2"/>
    <n v="0"/>
    <n v="153.10239999999999"/>
    <n v="4"/>
  </r>
  <r>
    <x v="1"/>
    <n v="3329"/>
    <s v="NCI06"/>
    <x v="5"/>
    <x v="7"/>
    <s v="OUT019"/>
    <x v="0"/>
    <x v="1"/>
    <x v="2"/>
    <n v="8.3547515000000003E-2"/>
    <n v="0"/>
    <n v="179.166"/>
    <n v="4"/>
  </r>
  <r>
    <x v="1"/>
    <n v="3330"/>
    <s v="NCI31"/>
    <x v="10"/>
    <x v="7"/>
    <s v="OUT019"/>
    <x v="0"/>
    <x v="1"/>
    <x v="2"/>
    <n v="0.142393355"/>
    <n v="0"/>
    <n v="36.418999999999997"/>
    <n v="4"/>
  </r>
  <r>
    <x v="1"/>
    <n v="3331"/>
    <s v="NCM43"/>
    <x v="10"/>
    <x v="7"/>
    <s v="OUT019"/>
    <x v="0"/>
    <x v="1"/>
    <x v="2"/>
    <n v="3.4098860000000002E-2"/>
    <n v="0"/>
    <n v="162.62100000000001"/>
    <n v="4"/>
  </r>
  <r>
    <x v="1"/>
    <n v="3332"/>
    <s v="NCN19"/>
    <x v="10"/>
    <x v="7"/>
    <s v="OUT019"/>
    <x v="0"/>
    <x v="1"/>
    <x v="2"/>
    <n v="2.1184746000000001E-2"/>
    <n v="0"/>
    <n v="189.553"/>
    <n v="4"/>
  </r>
  <r>
    <x v="1"/>
    <n v="3333"/>
    <s v="FDX21"/>
    <x v="6"/>
    <x v="7"/>
    <s v="OUT019"/>
    <x v="0"/>
    <x v="1"/>
    <x v="2"/>
    <n v="0.148764535"/>
    <n v="0"/>
    <n v="111.19119999999999"/>
    <n v="4"/>
  </r>
  <r>
    <x v="1"/>
    <n v="3334"/>
    <s v="FDZ58"/>
    <x v="6"/>
    <x v="7"/>
    <s v="OUT019"/>
    <x v="0"/>
    <x v="1"/>
    <x v="2"/>
    <n v="9.1354948000000005E-2"/>
    <n v="0"/>
    <n v="122.30719999999999"/>
    <n v="4"/>
  </r>
  <r>
    <x v="1"/>
    <n v="3335"/>
    <s v="DRH49"/>
    <x v="4"/>
    <x v="7"/>
    <s v="OUT019"/>
    <x v="0"/>
    <x v="1"/>
    <x v="2"/>
    <n v="4.3168762999999999E-2"/>
    <n v="0"/>
    <n v="82.859200000000001"/>
    <n v="4"/>
  </r>
  <r>
    <x v="0"/>
    <n v="3336"/>
    <s v="FDL12"/>
    <x v="13"/>
    <x v="7"/>
    <s v="OUT019"/>
    <x v="0"/>
    <x v="1"/>
    <x v="2"/>
    <n v="0.212963193"/>
    <n v="0"/>
    <n v="59.521999999999998"/>
    <n v="4"/>
  </r>
  <r>
    <x v="0"/>
    <n v="3337"/>
    <s v="FDM36"/>
    <x v="13"/>
    <x v="7"/>
    <s v="OUT019"/>
    <x v="0"/>
    <x v="1"/>
    <x v="2"/>
    <n v="0.10283010400000001"/>
    <n v="0"/>
    <n v="172.6422"/>
    <n v="4"/>
  </r>
  <r>
    <x v="0"/>
    <n v="3338"/>
    <s v="FDQ11"/>
    <x v="8"/>
    <x v="7"/>
    <s v="OUT019"/>
    <x v="0"/>
    <x v="1"/>
    <x v="2"/>
    <n v="0.118535581"/>
    <n v="0"/>
    <n v="256.39879999999999"/>
    <n v="4"/>
  </r>
  <r>
    <x v="0"/>
    <n v="3339"/>
    <s v="FDZ25"/>
    <x v="3"/>
    <x v="7"/>
    <s v="OUT019"/>
    <x v="0"/>
    <x v="1"/>
    <x v="2"/>
    <n v="0"/>
    <n v="0"/>
    <n v="169.87899999999999"/>
    <n v="4"/>
  </r>
  <r>
    <x v="0"/>
    <n v="3340"/>
    <s v="FDX38"/>
    <x v="11"/>
    <x v="7"/>
    <s v="OUT019"/>
    <x v="0"/>
    <x v="1"/>
    <x v="2"/>
    <n v="8.4404264000000007E-2"/>
    <n v="0"/>
    <n v="49.537599999999998"/>
    <n v="4"/>
  </r>
  <r>
    <x v="0"/>
    <n v="3341"/>
    <s v="FDH17"/>
    <x v="2"/>
    <x v="7"/>
    <s v="OUT019"/>
    <x v="0"/>
    <x v="1"/>
    <x v="2"/>
    <n v="2.9157849E-2"/>
    <n v="0"/>
    <n v="97.072599999999994"/>
    <n v="4"/>
  </r>
  <r>
    <x v="0"/>
    <n v="3342"/>
    <s v="FDU28"/>
    <x v="2"/>
    <x v="7"/>
    <s v="OUT019"/>
    <x v="0"/>
    <x v="1"/>
    <x v="2"/>
    <n v="0.164438907"/>
    <n v="0"/>
    <n v="188.42140000000001"/>
    <n v="4"/>
  </r>
  <r>
    <x v="0"/>
    <n v="3343"/>
    <s v="FDC57"/>
    <x v="0"/>
    <x v="7"/>
    <s v="OUT019"/>
    <x v="0"/>
    <x v="1"/>
    <x v="2"/>
    <n v="9.5587976000000005E-2"/>
    <n v="0"/>
    <n v="193.982"/>
    <n v="4"/>
  </r>
  <r>
    <x v="0"/>
    <n v="3344"/>
    <s v="FDK08"/>
    <x v="0"/>
    <x v="7"/>
    <s v="OUT019"/>
    <x v="0"/>
    <x v="1"/>
    <x v="2"/>
    <n v="0.214139786"/>
    <n v="0"/>
    <n v="102.4016"/>
    <n v="4"/>
  </r>
  <r>
    <x v="0"/>
    <n v="3345"/>
    <s v="FDS31"/>
    <x v="0"/>
    <x v="7"/>
    <s v="OUT019"/>
    <x v="0"/>
    <x v="1"/>
    <x v="2"/>
    <n v="0"/>
    <n v="0"/>
    <n v="178.5318"/>
    <n v="4"/>
  </r>
  <r>
    <x v="0"/>
    <n v="3346"/>
    <s v="FDL21"/>
    <x v="6"/>
    <x v="7"/>
    <s v="OUT019"/>
    <x v="0"/>
    <x v="1"/>
    <x v="2"/>
    <n v="1.251245E-2"/>
    <n v="0"/>
    <n v="38.747999999999998"/>
    <n v="4"/>
  </r>
  <r>
    <x v="0"/>
    <n v="3347"/>
    <s v="FDX22"/>
    <x v="6"/>
    <x v="7"/>
    <s v="OUT019"/>
    <x v="0"/>
    <x v="1"/>
    <x v="2"/>
    <n v="4.022593E-2"/>
    <n v="0"/>
    <n v="210.99279999999999"/>
    <n v="4"/>
  </r>
  <r>
    <x v="1"/>
    <n v="3348"/>
    <s v="FDQ14"/>
    <x v="11"/>
    <x v="7"/>
    <s v="OUT019"/>
    <x v="0"/>
    <x v="1"/>
    <x v="2"/>
    <n v="0.10818157"/>
    <n v="0"/>
    <n v="149.60499999999999"/>
    <n v="4"/>
  </r>
  <r>
    <x v="1"/>
    <n v="3349"/>
    <s v="NCO54"/>
    <x v="5"/>
    <x v="7"/>
    <s v="OUT019"/>
    <x v="0"/>
    <x v="1"/>
    <x v="2"/>
    <n v="2.4992442E-2"/>
    <n v="0"/>
    <n v="53.6614"/>
    <n v="4"/>
  </r>
  <r>
    <x v="1"/>
    <n v="3350"/>
    <s v="FDV45"/>
    <x v="6"/>
    <x v="7"/>
    <s v="OUT019"/>
    <x v="0"/>
    <x v="1"/>
    <x v="2"/>
    <n v="7.8872251000000004E-2"/>
    <n v="0"/>
    <n v="189.5556"/>
    <n v="4"/>
  </r>
  <r>
    <x v="0"/>
    <n v="3351"/>
    <s v="FDX48"/>
    <x v="13"/>
    <x v="7"/>
    <s v="OUT019"/>
    <x v="0"/>
    <x v="1"/>
    <x v="2"/>
    <n v="6.6336810999999996E-2"/>
    <n v="0"/>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n v="0"/>
    <n v="167.11840000000001"/>
    <n v="4"/>
  </r>
  <r>
    <x v="1"/>
    <n v="3766"/>
    <s v="DRC49"/>
    <x v="4"/>
    <x v="7"/>
    <s v="OUT027"/>
    <x v="1"/>
    <x v="0"/>
    <x v="3"/>
    <n v="6.5119701000000002E-2"/>
    <n v="0"/>
    <n v="145.71279999999999"/>
    <n v="4"/>
  </r>
  <r>
    <x v="1"/>
    <n v="3767"/>
    <s v="FDK36"/>
    <x v="13"/>
    <x v="7"/>
    <s v="OUT027"/>
    <x v="1"/>
    <x v="0"/>
    <x v="3"/>
    <n v="7.1803739999999998E-3"/>
    <n v="0"/>
    <n v="47.403399999999998"/>
    <n v="4"/>
  </r>
  <r>
    <x v="1"/>
    <n v="3768"/>
    <s v="FDO24"/>
    <x v="13"/>
    <x v="7"/>
    <s v="OUT027"/>
    <x v="1"/>
    <x v="0"/>
    <x v="3"/>
    <n v="0.17536233300000001"/>
    <n v="0"/>
    <n v="158.96039999999999"/>
    <n v="4"/>
  </r>
  <r>
    <x v="1"/>
    <n v="3769"/>
    <s v="FDT36"/>
    <x v="13"/>
    <x v="7"/>
    <s v="OUT027"/>
    <x v="1"/>
    <x v="0"/>
    <x v="3"/>
    <n v="0.110735739"/>
    <n v="0"/>
    <n v="35.287399999999998"/>
    <n v="4"/>
  </r>
  <r>
    <x v="1"/>
    <n v="3770"/>
    <s v="FDV36"/>
    <x v="13"/>
    <x v="7"/>
    <s v="OUT027"/>
    <x v="1"/>
    <x v="0"/>
    <x v="3"/>
    <n v="2.6174636000000001E-2"/>
    <n v="0"/>
    <n v="127.102"/>
    <n v="4"/>
  </r>
  <r>
    <x v="1"/>
    <n v="3771"/>
    <s v="FDP23"/>
    <x v="8"/>
    <x v="7"/>
    <s v="OUT027"/>
    <x v="1"/>
    <x v="0"/>
    <x v="3"/>
    <n v="3.5414528000000001E-2"/>
    <n v="0"/>
    <n v="218.2166"/>
    <n v="4"/>
  </r>
  <r>
    <x v="1"/>
    <n v="3772"/>
    <s v="FDU11"/>
    <x v="8"/>
    <x v="7"/>
    <s v="OUT027"/>
    <x v="1"/>
    <x v="0"/>
    <x v="3"/>
    <n v="9.2145264000000005E-2"/>
    <n v="0"/>
    <n v="120.7098"/>
    <n v="4"/>
  </r>
  <r>
    <x v="1"/>
    <n v="3773"/>
    <s v="FDU35"/>
    <x v="8"/>
    <x v="7"/>
    <s v="OUT027"/>
    <x v="1"/>
    <x v="0"/>
    <x v="3"/>
    <n v="7.8831762E-2"/>
    <n v="0"/>
    <n v="98.97"/>
    <n v="4"/>
  </r>
  <r>
    <x v="1"/>
    <n v="3774"/>
    <s v="FDU59"/>
    <x v="8"/>
    <x v="7"/>
    <s v="OUT027"/>
    <x v="1"/>
    <x v="0"/>
    <x v="3"/>
    <n v="9.5919472000000006E-2"/>
    <n v="0"/>
    <n v="162.65520000000001"/>
    <n v="4"/>
  </r>
  <r>
    <x v="1"/>
    <n v="3775"/>
    <s v="FDR14"/>
    <x v="11"/>
    <x v="7"/>
    <s v="OUT027"/>
    <x v="1"/>
    <x v="0"/>
    <x v="3"/>
    <n v="0.17320619200000001"/>
    <n v="0"/>
    <n v="53.329799999999999"/>
    <n v="4"/>
  </r>
  <r>
    <x v="1"/>
    <n v="3776"/>
    <s v="FDU14"/>
    <x v="11"/>
    <x v="7"/>
    <s v="OUT027"/>
    <x v="1"/>
    <x v="0"/>
    <x v="3"/>
    <n v="3.4584355999999997E-2"/>
    <n v="0"/>
    <n v="248.375"/>
    <n v="4"/>
  </r>
  <r>
    <x v="1"/>
    <n v="3777"/>
    <s v="FDA16"/>
    <x v="2"/>
    <x v="7"/>
    <s v="OUT027"/>
    <x v="1"/>
    <x v="0"/>
    <x v="3"/>
    <n v="3.3777629000000003E-2"/>
    <n v="0"/>
    <n v="222.84559999999999"/>
    <n v="4"/>
  </r>
  <r>
    <x v="1"/>
    <n v="3778"/>
    <s v="FDF52"/>
    <x v="2"/>
    <x v="7"/>
    <s v="OUT027"/>
    <x v="1"/>
    <x v="0"/>
    <x v="3"/>
    <n v="6.6459890999999993E-2"/>
    <n v="0"/>
    <n v="184.22919999999999"/>
    <n v="4"/>
  </r>
  <r>
    <x v="1"/>
    <n v="3779"/>
    <s v="FDG29"/>
    <x v="2"/>
    <x v="7"/>
    <s v="OUT027"/>
    <x v="1"/>
    <x v="0"/>
    <x v="3"/>
    <n v="5.6019324000000002E-2"/>
    <n v="0"/>
    <n v="40.045400000000001"/>
    <n v="4"/>
  </r>
  <r>
    <x v="1"/>
    <n v="3780"/>
    <s v="FDG52"/>
    <x v="2"/>
    <x v="7"/>
    <s v="OUT027"/>
    <x v="1"/>
    <x v="0"/>
    <x v="3"/>
    <n v="6.5313023999999997E-2"/>
    <n v="0"/>
    <n v="47.1402"/>
    <n v="4"/>
  </r>
  <r>
    <x v="1"/>
    <n v="3781"/>
    <s v="FDA56"/>
    <x v="0"/>
    <x v="7"/>
    <s v="OUT027"/>
    <x v="1"/>
    <x v="0"/>
    <x v="3"/>
    <n v="8.7223419999999992E-3"/>
    <n v="0"/>
    <n v="123.5414"/>
    <n v="4"/>
  </r>
  <r>
    <x v="1"/>
    <n v="3782"/>
    <s v="FDQ56"/>
    <x v="0"/>
    <x v="7"/>
    <s v="OUT027"/>
    <x v="1"/>
    <x v="0"/>
    <x v="3"/>
    <n v="0.10508595599999999"/>
    <n v="0"/>
    <n v="82.390799999999999"/>
    <n v="4"/>
  </r>
  <r>
    <x v="1"/>
    <n v="3783"/>
    <s v="FDZ20"/>
    <x v="0"/>
    <x v="7"/>
    <s v="OUT027"/>
    <x v="1"/>
    <x v="0"/>
    <x v="3"/>
    <n v="0"/>
    <n v="0"/>
    <n v="253.03559999999999"/>
    <n v="4"/>
  </r>
  <r>
    <x v="1"/>
    <n v="3784"/>
    <s v="NCO05"/>
    <x v="1"/>
    <x v="7"/>
    <s v="OUT027"/>
    <x v="1"/>
    <x v="0"/>
    <x v="3"/>
    <n v="4.6333982000000003E-2"/>
    <n v="0"/>
    <n v="97.238399999999999"/>
    <n v="4"/>
  </r>
  <r>
    <x v="1"/>
    <n v="3785"/>
    <s v="NCT29"/>
    <x v="1"/>
    <x v="7"/>
    <s v="OUT027"/>
    <x v="1"/>
    <x v="0"/>
    <x v="3"/>
    <n v="6.3800265999999994E-2"/>
    <n v="0"/>
    <n v="123.0414"/>
    <n v="4"/>
  </r>
  <r>
    <x v="1"/>
    <n v="3786"/>
    <s v="NCJ42"/>
    <x v="5"/>
    <x v="7"/>
    <s v="OUT027"/>
    <x v="1"/>
    <x v="0"/>
    <x v="3"/>
    <n v="1.4232071000000001E-2"/>
    <n v="0"/>
    <n v="100.9332"/>
    <n v="4"/>
  </r>
  <r>
    <x v="1"/>
    <n v="3787"/>
    <s v="NCL30"/>
    <x v="5"/>
    <x v="7"/>
    <s v="OUT027"/>
    <x v="1"/>
    <x v="0"/>
    <x v="3"/>
    <n v="4.8703431999999998E-2"/>
    <n v="0"/>
    <n v="125.9336"/>
    <n v="4"/>
  </r>
  <r>
    <x v="1"/>
    <n v="3788"/>
    <s v="NCO06"/>
    <x v="5"/>
    <x v="7"/>
    <s v="OUT027"/>
    <x v="1"/>
    <x v="0"/>
    <x v="3"/>
    <n v="0.107507291"/>
    <n v="0"/>
    <n v="34.855800000000002"/>
    <n v="4"/>
  </r>
  <r>
    <x v="1"/>
    <n v="3789"/>
    <s v="FDS39"/>
    <x v="7"/>
    <x v="7"/>
    <s v="OUT027"/>
    <x v="1"/>
    <x v="0"/>
    <x v="3"/>
    <n v="2.2351808000000001E-2"/>
    <n v="0"/>
    <n v="143.78120000000001"/>
    <n v="4"/>
  </r>
  <r>
    <x v="1"/>
    <n v="3790"/>
    <s v="NCN14"/>
    <x v="10"/>
    <x v="7"/>
    <s v="OUT027"/>
    <x v="1"/>
    <x v="0"/>
    <x v="3"/>
    <n v="9.1472670000000006E-2"/>
    <n v="0"/>
    <n v="184.66079999999999"/>
    <n v="4"/>
  </r>
  <r>
    <x v="1"/>
    <n v="3791"/>
    <s v="FDH21"/>
    <x v="14"/>
    <x v="7"/>
    <s v="OUT027"/>
    <x v="1"/>
    <x v="0"/>
    <x v="3"/>
    <n v="3.1073804E-2"/>
    <n v="0"/>
    <n v="157.56039999999999"/>
    <n v="4"/>
  </r>
  <r>
    <x v="1"/>
    <n v="3792"/>
    <s v="FDC58"/>
    <x v="6"/>
    <x v="7"/>
    <s v="OUT027"/>
    <x v="1"/>
    <x v="0"/>
    <x v="3"/>
    <n v="0"/>
    <n v="0"/>
    <n v="45.742800000000003"/>
    <n v="4"/>
  </r>
  <r>
    <x v="1"/>
    <n v="3793"/>
    <s v="FDM34"/>
    <x v="6"/>
    <x v="7"/>
    <s v="OUT027"/>
    <x v="1"/>
    <x v="0"/>
    <x v="3"/>
    <n v="6.7120953999999997E-2"/>
    <n v="0"/>
    <n v="132.96260000000001"/>
    <n v="4"/>
  </r>
  <r>
    <x v="1"/>
    <n v="3794"/>
    <s v="FDO34"/>
    <x v="6"/>
    <x v="7"/>
    <s v="OUT027"/>
    <x v="1"/>
    <x v="0"/>
    <x v="3"/>
    <n v="2.9793955E-2"/>
    <n v="0"/>
    <n v="167.2816"/>
    <n v="4"/>
  </r>
  <r>
    <x v="1"/>
    <n v="3795"/>
    <s v="FDT21"/>
    <x v="6"/>
    <x v="7"/>
    <s v="OUT027"/>
    <x v="1"/>
    <x v="0"/>
    <x v="3"/>
    <n v="0"/>
    <n v="0"/>
    <n v="248.8092"/>
    <n v="4"/>
  </r>
  <r>
    <x v="1"/>
    <n v="3796"/>
    <s v="DRM48"/>
    <x v="4"/>
    <x v="7"/>
    <s v="OUT027"/>
    <x v="1"/>
    <x v="0"/>
    <x v="3"/>
    <n v="0.112349962"/>
    <n v="0"/>
    <n v="39.184800000000003"/>
    <n v="4"/>
  </r>
  <r>
    <x v="1"/>
    <n v="3797"/>
    <s v="DRZ24"/>
    <x v="4"/>
    <x v="7"/>
    <s v="OUT027"/>
    <x v="1"/>
    <x v="0"/>
    <x v="3"/>
    <n v="0"/>
    <n v="0"/>
    <n v="121.044"/>
    <n v="4"/>
  </r>
  <r>
    <x v="0"/>
    <n v="3798"/>
    <s v="FDQ48"/>
    <x v="13"/>
    <x v="7"/>
    <s v="OUT027"/>
    <x v="1"/>
    <x v="0"/>
    <x v="3"/>
    <n v="3.4244601E-2"/>
    <n v="0"/>
    <n v="97.272599999999997"/>
    <n v="4"/>
  </r>
  <r>
    <x v="0"/>
    <n v="3799"/>
    <s v="FDY60"/>
    <x v="13"/>
    <x v="7"/>
    <s v="OUT027"/>
    <x v="1"/>
    <x v="0"/>
    <x v="3"/>
    <n v="2.6243240000000001E-2"/>
    <n v="0"/>
    <n v="143.81280000000001"/>
    <n v="4"/>
  </r>
  <r>
    <x v="0"/>
    <n v="3800"/>
    <s v="FDX47"/>
    <x v="8"/>
    <x v="7"/>
    <s v="OUT027"/>
    <x v="1"/>
    <x v="0"/>
    <x v="3"/>
    <n v="3.4436769999999998E-2"/>
    <n v="0"/>
    <n v="156.52879999999999"/>
    <n v="4"/>
  </r>
  <r>
    <x v="0"/>
    <n v="3801"/>
    <s v="FDG38"/>
    <x v="3"/>
    <x v="7"/>
    <s v="OUT027"/>
    <x v="1"/>
    <x v="0"/>
    <x v="3"/>
    <n v="5.2473797000000003E-2"/>
    <n v="0"/>
    <n v="83.622399999999999"/>
    <n v="4"/>
  </r>
  <r>
    <x v="0"/>
    <n v="3802"/>
    <s v="FDQ25"/>
    <x v="3"/>
    <x v="7"/>
    <s v="OUT027"/>
    <x v="1"/>
    <x v="0"/>
    <x v="3"/>
    <n v="2.8139760999999999E-2"/>
    <n v="0"/>
    <n v="173.7422"/>
    <n v="4"/>
  </r>
  <r>
    <x v="0"/>
    <n v="3803"/>
    <s v="FDF40"/>
    <x v="11"/>
    <x v="7"/>
    <s v="OUT027"/>
    <x v="1"/>
    <x v="0"/>
    <x v="3"/>
    <n v="2.2403117E-2"/>
    <n v="0"/>
    <n v="250.9092"/>
    <n v="4"/>
  </r>
  <r>
    <x v="0"/>
    <n v="3804"/>
    <s v="FDU50"/>
    <x v="11"/>
    <x v="7"/>
    <s v="OUT027"/>
    <x v="1"/>
    <x v="0"/>
    <x v="3"/>
    <n v="7.4806196000000005E-2"/>
    <n v="0"/>
    <n v="112.91759999999999"/>
    <n v="4"/>
  </r>
  <r>
    <x v="0"/>
    <n v="3805"/>
    <s v="FDG05"/>
    <x v="2"/>
    <x v="7"/>
    <s v="OUT027"/>
    <x v="1"/>
    <x v="0"/>
    <x v="3"/>
    <n v="8.7421737999999999E-2"/>
    <n v="0"/>
    <n v="154.46299999999999"/>
    <n v="4"/>
  </r>
  <r>
    <x v="0"/>
    <n v="3806"/>
    <s v="FDT16"/>
    <x v="2"/>
    <x v="7"/>
    <s v="OUT027"/>
    <x v="1"/>
    <x v="0"/>
    <x v="3"/>
    <n v="4.8426707999999999E-2"/>
    <n v="0"/>
    <n v="258.7278"/>
    <n v="4"/>
  </r>
  <r>
    <x v="0"/>
    <n v="3807"/>
    <s v="FDV04"/>
    <x v="2"/>
    <x v="7"/>
    <s v="OUT027"/>
    <x v="1"/>
    <x v="0"/>
    <x v="3"/>
    <n v="0.14928877900000001"/>
    <n v="0"/>
    <n v="158.4288"/>
    <n v="4"/>
  </r>
  <r>
    <x v="0"/>
    <n v="3808"/>
    <s v="FDY16"/>
    <x v="2"/>
    <x v="7"/>
    <s v="OUT027"/>
    <x v="1"/>
    <x v="0"/>
    <x v="3"/>
    <n v="9.1780141999999995E-2"/>
    <n v="0"/>
    <n v="182.5266"/>
    <n v="4"/>
  </r>
  <r>
    <x v="0"/>
    <n v="3809"/>
    <s v="FDB57"/>
    <x v="0"/>
    <x v="7"/>
    <s v="OUT027"/>
    <x v="1"/>
    <x v="0"/>
    <x v="3"/>
    <n v="1.8714040000000001E-2"/>
    <n v="0"/>
    <n v="223.47720000000001"/>
    <n v="4"/>
  </r>
  <r>
    <x v="0"/>
    <n v="3810"/>
    <s v="FDC08"/>
    <x v="0"/>
    <x v="7"/>
    <s v="OUT027"/>
    <x v="1"/>
    <x v="0"/>
    <x v="3"/>
    <n v="0.102949031"/>
    <n v="0"/>
    <n v="225.27199999999999"/>
    <n v="4"/>
  </r>
  <r>
    <x v="0"/>
    <n v="3811"/>
    <s v="FDK08"/>
    <x v="0"/>
    <x v="7"/>
    <s v="OUT027"/>
    <x v="1"/>
    <x v="0"/>
    <x v="3"/>
    <n v="0.121712459"/>
    <n v="0"/>
    <n v="101.2016"/>
    <n v="4"/>
  </r>
  <r>
    <x v="0"/>
    <n v="3812"/>
    <s v="FDN08"/>
    <x v="0"/>
    <x v="7"/>
    <s v="OUT027"/>
    <x v="1"/>
    <x v="0"/>
    <x v="3"/>
    <n v="8.7936752000000007E-2"/>
    <n v="0"/>
    <n v="115.9466"/>
    <n v="4"/>
  </r>
  <r>
    <x v="0"/>
    <n v="3813"/>
    <s v="FDQ19"/>
    <x v="0"/>
    <x v="7"/>
    <s v="OUT027"/>
    <x v="1"/>
    <x v="0"/>
    <x v="3"/>
    <n v="1.4295564E-2"/>
    <n v="0"/>
    <n v="242.65119999999999"/>
    <n v="4"/>
  </r>
  <r>
    <x v="0"/>
    <n v="3814"/>
    <s v="FDU43"/>
    <x v="0"/>
    <x v="7"/>
    <s v="OUT027"/>
    <x v="1"/>
    <x v="0"/>
    <x v="3"/>
    <n v="5.7762301000000002E-2"/>
    <n v="0"/>
    <n v="237.35640000000001"/>
    <n v="4"/>
  </r>
  <r>
    <x v="0"/>
    <n v="3815"/>
    <s v="FDW55"/>
    <x v="0"/>
    <x v="7"/>
    <s v="OUT027"/>
    <x v="1"/>
    <x v="0"/>
    <x v="3"/>
    <n v="2.1863506000000001E-2"/>
    <n v="0"/>
    <n v="247.00919999999999"/>
    <n v="4"/>
  </r>
  <r>
    <x v="0"/>
    <n v="3816"/>
    <s v="FDZ31"/>
    <x v="0"/>
    <x v="7"/>
    <s v="OUT027"/>
    <x v="1"/>
    <x v="0"/>
    <x v="3"/>
    <n v="0.112668963"/>
    <n v="0"/>
    <n v="191.0504"/>
    <n v="4"/>
  </r>
  <r>
    <x v="0"/>
    <n v="3817"/>
    <s v="FDH31"/>
    <x v="7"/>
    <x v="7"/>
    <s v="OUT027"/>
    <x v="1"/>
    <x v="0"/>
    <x v="3"/>
    <n v="2.0312314000000001E-2"/>
    <n v="0"/>
    <n v="98.104200000000006"/>
    <n v="4"/>
  </r>
  <r>
    <x v="0"/>
    <n v="3818"/>
    <s v="FDO39"/>
    <x v="7"/>
    <x v="7"/>
    <s v="OUT027"/>
    <x v="1"/>
    <x v="0"/>
    <x v="3"/>
    <n v="0.13670167799999999"/>
    <n v="0"/>
    <n v="182.16079999999999"/>
    <n v="4"/>
  </r>
  <r>
    <x v="0"/>
    <n v="3819"/>
    <s v="FDQ51"/>
    <x v="7"/>
    <x v="7"/>
    <s v="OUT027"/>
    <x v="1"/>
    <x v="0"/>
    <x v="3"/>
    <n v="1.7466283999999999E-2"/>
    <n v="0"/>
    <n v="45.471800000000002"/>
    <n v="4"/>
  </r>
  <r>
    <x v="0"/>
    <n v="3820"/>
    <s v="FDZ51"/>
    <x v="7"/>
    <x v="7"/>
    <s v="OUT027"/>
    <x v="1"/>
    <x v="0"/>
    <x v="3"/>
    <n v="5.4288646000000003E-2"/>
    <n v="0"/>
    <n v="96.609399999999994"/>
    <n v="4"/>
  </r>
  <r>
    <x v="0"/>
    <n v="3821"/>
    <s v="FDL09"/>
    <x v="6"/>
    <x v="7"/>
    <s v="OUT027"/>
    <x v="1"/>
    <x v="0"/>
    <x v="3"/>
    <n v="0.127416049"/>
    <n v="0"/>
    <n v="167.48159999999999"/>
    <n v="4"/>
  </r>
  <r>
    <x v="0"/>
    <n v="3822"/>
    <s v="FDO09"/>
    <x v="6"/>
    <x v="7"/>
    <s v="OUT027"/>
    <x v="1"/>
    <x v="0"/>
    <x v="3"/>
    <n v="0.124668026"/>
    <n v="0"/>
    <n v="261.09100000000001"/>
    <n v="4"/>
  </r>
  <r>
    <x v="0"/>
    <n v="3823"/>
    <s v="FDO45"/>
    <x v="6"/>
    <x v="7"/>
    <s v="OUT027"/>
    <x v="1"/>
    <x v="0"/>
    <x v="3"/>
    <n v="3.7768989000000003E-2"/>
    <n v="0"/>
    <n v="88.585599999999999"/>
    <n v="4"/>
  </r>
  <r>
    <x v="0"/>
    <n v="3824"/>
    <s v="FDP45"/>
    <x v="6"/>
    <x v="7"/>
    <s v="OUT027"/>
    <x v="1"/>
    <x v="0"/>
    <x v="3"/>
    <n v="3.0476540999999999E-2"/>
    <n v="0"/>
    <n v="252.2724"/>
    <n v="4"/>
  </r>
  <r>
    <x v="0"/>
    <n v="3825"/>
    <s v="DRA59"/>
    <x v="4"/>
    <x v="7"/>
    <s v="OUT027"/>
    <x v="1"/>
    <x v="0"/>
    <x v="3"/>
    <n v="0.127308434"/>
    <n v="0"/>
    <n v="186.69239999999999"/>
    <n v="4"/>
  </r>
  <r>
    <x v="0"/>
    <n v="3826"/>
    <s v="FDB23"/>
    <x v="15"/>
    <x v="7"/>
    <s v="OUT027"/>
    <x v="1"/>
    <x v="0"/>
    <x v="3"/>
    <n v="5.5615380000000004E-3"/>
    <n v="0"/>
    <n v="224.00620000000001"/>
    <n v="4"/>
  </r>
  <r>
    <x v="0"/>
    <n v="3827"/>
    <s v="FDE11"/>
    <x v="15"/>
    <x v="7"/>
    <s v="OUT027"/>
    <x v="1"/>
    <x v="0"/>
    <x v="3"/>
    <n v="0.13444176499999999"/>
    <n v="0"/>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n v="0"/>
    <n v="107.6938"/>
    <n v="3.9"/>
  </r>
  <r>
    <x v="1"/>
    <n v="3831"/>
    <s v="DRH01"/>
    <x v="4"/>
    <x v="2"/>
    <s v="OUT046"/>
    <x v="0"/>
    <x v="1"/>
    <x v="0"/>
    <n v="9.7904029000000004E-2"/>
    <n v="17.5"/>
    <n v="174.87379999999999"/>
    <n v="3.9"/>
  </r>
  <r>
    <x v="0"/>
    <n v="3832"/>
    <s v="FDV20"/>
    <x v="0"/>
    <x v="7"/>
    <s v="OUT027"/>
    <x v="1"/>
    <x v="0"/>
    <x v="3"/>
    <n v="5.9511811999999997E-2"/>
    <n v="0"/>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n v="0"/>
    <n v="126.202"/>
    <n v="3.9"/>
  </r>
  <r>
    <x v="1"/>
    <n v="3847"/>
    <s v="FDK36"/>
    <x v="13"/>
    <x v="8"/>
    <s v="OUT035"/>
    <x v="2"/>
    <x v="1"/>
    <x v="0"/>
    <n v="7.2139500000000002E-3"/>
    <n v="7.09"/>
    <n v="47.903399999999998"/>
    <n v="3.9"/>
  </r>
  <r>
    <x v="0"/>
    <n v="3848"/>
    <s v="FDV20"/>
    <x v="0"/>
    <x v="7"/>
    <s v="OUT019"/>
    <x v="0"/>
    <x v="1"/>
    <x v="2"/>
    <n v="0.104704537"/>
    <n v="0"/>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n v="0"/>
    <n v="216.3192"/>
    <n v="3.9"/>
  </r>
  <r>
    <x v="1"/>
    <n v="3895"/>
    <s v="DRM37"/>
    <x v="4"/>
    <x v="7"/>
    <s v="OUT019"/>
    <x v="0"/>
    <x v="1"/>
    <x v="2"/>
    <n v="0.168780127"/>
    <n v="0"/>
    <n v="197.8768"/>
    <n v="3.9"/>
  </r>
  <r>
    <x v="1"/>
    <n v="3896"/>
    <s v="FDY48"/>
    <x v="13"/>
    <x v="7"/>
    <s v="OUT019"/>
    <x v="0"/>
    <x v="1"/>
    <x v="2"/>
    <n v="4.1556696999999997E-2"/>
    <n v="0"/>
    <n v="104.4332"/>
    <n v="3.9"/>
  </r>
  <r>
    <x v="1"/>
    <n v="3897"/>
    <s v="FDT37"/>
    <x v="3"/>
    <x v="7"/>
    <s v="OUT019"/>
    <x v="0"/>
    <x v="1"/>
    <x v="2"/>
    <n v="6.1753510999999997E-2"/>
    <n v="0"/>
    <n v="253.3014"/>
    <n v="3.9"/>
  </r>
  <r>
    <x v="1"/>
    <n v="3898"/>
    <s v="FDB05"/>
    <x v="2"/>
    <x v="7"/>
    <s v="OUT019"/>
    <x v="0"/>
    <x v="1"/>
    <x v="2"/>
    <n v="0.14566955600000001"/>
    <n v="0"/>
    <n v="247.27760000000001"/>
    <n v="3.9"/>
  </r>
  <r>
    <x v="1"/>
    <n v="3899"/>
    <s v="FDA19"/>
    <x v="0"/>
    <x v="7"/>
    <s v="OUT019"/>
    <x v="0"/>
    <x v="1"/>
    <x v="2"/>
    <n v="0"/>
    <n v="0"/>
    <n v="126.6994"/>
    <n v="3.9"/>
  </r>
  <r>
    <x v="1"/>
    <n v="3900"/>
    <s v="FDI32"/>
    <x v="0"/>
    <x v="7"/>
    <s v="OUT019"/>
    <x v="0"/>
    <x v="1"/>
    <x v="2"/>
    <n v="0.30530539699999998"/>
    <n v="0"/>
    <n v="116.68340000000001"/>
    <n v="3.9"/>
  </r>
  <r>
    <x v="1"/>
    <n v="3901"/>
    <s v="DRH23"/>
    <x v="9"/>
    <x v="7"/>
    <s v="OUT019"/>
    <x v="0"/>
    <x v="1"/>
    <x v="2"/>
    <n v="0.29820527200000002"/>
    <n v="0"/>
    <n v="55.761400000000002"/>
    <n v="3.9"/>
  </r>
  <r>
    <x v="1"/>
    <n v="3902"/>
    <s v="NCN53"/>
    <x v="1"/>
    <x v="7"/>
    <s v="OUT019"/>
    <x v="0"/>
    <x v="1"/>
    <x v="2"/>
    <n v="5.3148497000000003E-2"/>
    <n v="0"/>
    <n v="36.3874"/>
    <n v="3.9"/>
  </r>
  <r>
    <x v="1"/>
    <n v="3903"/>
    <s v="NCP41"/>
    <x v="1"/>
    <x v="7"/>
    <s v="OUT019"/>
    <x v="0"/>
    <x v="1"/>
    <x v="2"/>
    <n v="2.8382853E-2"/>
    <n v="0"/>
    <n v="109.45959999999999"/>
    <n v="3.9"/>
  </r>
  <r>
    <x v="1"/>
    <n v="3904"/>
    <s v="NCR53"/>
    <x v="1"/>
    <x v="7"/>
    <s v="OUT019"/>
    <x v="0"/>
    <x v="1"/>
    <x v="2"/>
    <n v="0.25394782300000002"/>
    <n v="0"/>
    <n v="223.84039999999999"/>
    <n v="3.9"/>
  </r>
  <r>
    <x v="1"/>
    <n v="3905"/>
    <s v="NCD54"/>
    <x v="5"/>
    <x v="7"/>
    <s v="OUT019"/>
    <x v="0"/>
    <x v="1"/>
    <x v="2"/>
    <n v="5.0790916999999998E-2"/>
    <n v="0"/>
    <n v="142.77860000000001"/>
    <n v="3.9"/>
  </r>
  <r>
    <x v="1"/>
    <n v="3906"/>
    <s v="NCP42"/>
    <x v="5"/>
    <x v="7"/>
    <s v="OUT019"/>
    <x v="0"/>
    <x v="1"/>
    <x v="2"/>
    <n v="2.8207784E-2"/>
    <n v="0"/>
    <n v="195.5478"/>
    <n v="3.9"/>
  </r>
  <r>
    <x v="1"/>
    <n v="3907"/>
    <s v="NCR38"/>
    <x v="5"/>
    <x v="7"/>
    <s v="OUT019"/>
    <x v="0"/>
    <x v="1"/>
    <x v="2"/>
    <n v="0.19875618"/>
    <n v="0"/>
    <n v="250.7724"/>
    <n v="3.9"/>
  </r>
  <r>
    <x v="1"/>
    <n v="3908"/>
    <s v="NCO55"/>
    <x v="10"/>
    <x v="7"/>
    <s v="OUT019"/>
    <x v="0"/>
    <x v="1"/>
    <x v="2"/>
    <n v="0.159394437"/>
    <n v="0"/>
    <n v="105.6938"/>
    <n v="3.9"/>
  </r>
  <r>
    <x v="0"/>
    <n v="3909"/>
    <s v="FDY35"/>
    <x v="8"/>
    <x v="7"/>
    <s v="OUT019"/>
    <x v="0"/>
    <x v="1"/>
    <x v="2"/>
    <n v="2.8062401000000001E-2"/>
    <n v="0"/>
    <n v="44.040199999999999"/>
    <n v="3.9"/>
  </r>
  <r>
    <x v="0"/>
    <n v="3910"/>
    <s v="FDC52"/>
    <x v="11"/>
    <x v="7"/>
    <s v="OUT019"/>
    <x v="0"/>
    <x v="1"/>
    <x v="2"/>
    <n v="1.4497036E-2"/>
    <n v="0"/>
    <n v="150.8708"/>
    <n v="3.9"/>
  </r>
  <r>
    <x v="0"/>
    <n v="3911"/>
    <s v="FDE40"/>
    <x v="11"/>
    <x v="7"/>
    <s v="OUT019"/>
    <x v="0"/>
    <x v="1"/>
    <x v="2"/>
    <n v="0.173587926"/>
    <n v="0"/>
    <n v="60.019399999999997"/>
    <n v="3.9"/>
  </r>
  <r>
    <x v="0"/>
    <n v="3912"/>
    <s v="FDF40"/>
    <x v="11"/>
    <x v="7"/>
    <s v="OUT019"/>
    <x v="0"/>
    <x v="1"/>
    <x v="2"/>
    <n v="3.9415840000000001E-2"/>
    <n v="0"/>
    <n v="247.8092"/>
    <n v="3.9"/>
  </r>
  <r>
    <x v="0"/>
    <n v="3913"/>
    <s v="FDK20"/>
    <x v="0"/>
    <x v="7"/>
    <s v="OUT019"/>
    <x v="0"/>
    <x v="1"/>
    <x v="2"/>
    <n v="7.2762086000000004E-2"/>
    <n v="0"/>
    <n v="120.9072"/>
    <n v="3.9"/>
  </r>
  <r>
    <x v="0"/>
    <n v="3914"/>
    <s v="FDR32"/>
    <x v="0"/>
    <x v="7"/>
    <s v="OUT019"/>
    <x v="0"/>
    <x v="1"/>
    <x v="2"/>
    <n v="0.150238656"/>
    <n v="0"/>
    <n v="229.36940000000001"/>
    <n v="3.9"/>
  </r>
  <r>
    <x v="0"/>
    <n v="3915"/>
    <s v="FDW46"/>
    <x v="6"/>
    <x v="7"/>
    <s v="OUT019"/>
    <x v="0"/>
    <x v="1"/>
    <x v="2"/>
    <n v="0.12308912800000001"/>
    <n v="0"/>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n v="0"/>
    <n v="149.4708"/>
    <n v="3.9"/>
  </r>
  <r>
    <x v="1"/>
    <n v="4104"/>
    <s v="FDG02"/>
    <x v="3"/>
    <x v="7"/>
    <s v="OUT027"/>
    <x v="1"/>
    <x v="0"/>
    <x v="3"/>
    <n v="1.1206631999999999E-2"/>
    <n v="0"/>
    <n v="191.4188"/>
    <n v="3.9"/>
  </r>
  <r>
    <x v="1"/>
    <n v="4105"/>
    <s v="DRG03"/>
    <x v="11"/>
    <x v="7"/>
    <s v="OUT027"/>
    <x v="1"/>
    <x v="0"/>
    <x v="3"/>
    <n v="6.1686402000000001E-2"/>
    <n v="0"/>
    <n v="153.99979999999999"/>
    <n v="3.9"/>
  </r>
  <r>
    <x v="1"/>
    <n v="4106"/>
    <s v="DRK39"/>
    <x v="11"/>
    <x v="7"/>
    <s v="OUT027"/>
    <x v="1"/>
    <x v="0"/>
    <x v="3"/>
    <n v="4.9623924E-2"/>
    <n v="0"/>
    <n v="83.224999999999994"/>
    <n v="3.9"/>
  </r>
  <r>
    <x v="1"/>
    <n v="4107"/>
    <s v="FDD39"/>
    <x v="11"/>
    <x v="7"/>
    <s v="OUT027"/>
    <x v="1"/>
    <x v="0"/>
    <x v="3"/>
    <n v="6.9815169999999996E-2"/>
    <n v="0"/>
    <n v="214.38499999999999"/>
    <n v="3.9"/>
  </r>
  <r>
    <x v="1"/>
    <n v="4108"/>
    <s v="FDB17"/>
    <x v="2"/>
    <x v="7"/>
    <s v="OUT027"/>
    <x v="1"/>
    <x v="0"/>
    <x v="3"/>
    <n v="3.6494521000000002E-2"/>
    <n v="0"/>
    <n v="179.0976"/>
    <n v="3.9"/>
  </r>
  <r>
    <x v="1"/>
    <n v="4109"/>
    <s v="FDY07"/>
    <x v="0"/>
    <x v="7"/>
    <s v="OUT027"/>
    <x v="1"/>
    <x v="0"/>
    <x v="3"/>
    <n v="0"/>
    <n v="0"/>
    <n v="45.940199999999997"/>
    <n v="3.9"/>
  </r>
  <r>
    <x v="1"/>
    <n v="4110"/>
    <s v="NCC19"/>
    <x v="5"/>
    <x v="7"/>
    <s v="OUT027"/>
    <x v="1"/>
    <x v="0"/>
    <x v="3"/>
    <n v="9.6411425999999995E-2"/>
    <n v="0"/>
    <n v="192.982"/>
    <n v="3.9"/>
  </r>
  <r>
    <x v="1"/>
    <n v="4111"/>
    <s v="NCE07"/>
    <x v="5"/>
    <x v="7"/>
    <s v="OUT027"/>
    <x v="1"/>
    <x v="0"/>
    <x v="3"/>
    <n v="1.3066448E-2"/>
    <n v="0"/>
    <n v="140.91540000000001"/>
    <n v="3.9"/>
  </r>
  <r>
    <x v="1"/>
    <n v="4112"/>
    <s v="NCF19"/>
    <x v="5"/>
    <x v="7"/>
    <s v="OUT027"/>
    <x v="1"/>
    <x v="0"/>
    <x v="3"/>
    <n v="3.4938717000000001E-2"/>
    <n v="0"/>
    <n v="49.003399999999999"/>
    <n v="3.9"/>
  </r>
  <r>
    <x v="1"/>
    <n v="4113"/>
    <s v="NCG18"/>
    <x v="5"/>
    <x v="7"/>
    <s v="OUT027"/>
    <x v="1"/>
    <x v="0"/>
    <x v="3"/>
    <n v="2.2866629999999999E-2"/>
    <n v="0"/>
    <n v="102.83320000000001"/>
    <n v="3.9"/>
  </r>
  <r>
    <x v="1"/>
    <n v="4114"/>
    <s v="NCJ18"/>
    <x v="5"/>
    <x v="7"/>
    <s v="OUT027"/>
    <x v="1"/>
    <x v="0"/>
    <x v="3"/>
    <n v="0.16314804099999999"/>
    <n v="0"/>
    <n v="116.61239999999999"/>
    <n v="3.9"/>
  </r>
  <r>
    <x v="1"/>
    <n v="4115"/>
    <s v="NCQ18"/>
    <x v="5"/>
    <x v="7"/>
    <s v="OUT027"/>
    <x v="1"/>
    <x v="0"/>
    <x v="3"/>
    <n v="0.134418705"/>
    <n v="0"/>
    <n v="99.67"/>
    <n v="3.9"/>
  </r>
  <r>
    <x v="1"/>
    <n v="4116"/>
    <s v="FDV15"/>
    <x v="7"/>
    <x v="7"/>
    <s v="OUT027"/>
    <x v="1"/>
    <x v="0"/>
    <x v="3"/>
    <n v="0.145464606"/>
    <n v="0"/>
    <n v="105.76479999999999"/>
    <n v="3.9"/>
  </r>
  <r>
    <x v="1"/>
    <n v="4117"/>
    <s v="FDN45"/>
    <x v="6"/>
    <x v="7"/>
    <s v="OUT027"/>
    <x v="1"/>
    <x v="0"/>
    <x v="3"/>
    <n v="0.11753085100000001"/>
    <n v="0"/>
    <n v="222.7088"/>
    <n v="3.9"/>
  </r>
  <r>
    <x v="1"/>
    <n v="4118"/>
    <s v="DRE49"/>
    <x v="4"/>
    <x v="7"/>
    <s v="OUT027"/>
    <x v="1"/>
    <x v="0"/>
    <x v="3"/>
    <n v="0"/>
    <n v="0"/>
    <n v="153.80240000000001"/>
    <n v="3.9"/>
  </r>
  <r>
    <x v="0"/>
    <n v="4119"/>
    <s v="FDB36"/>
    <x v="13"/>
    <x v="7"/>
    <s v="OUT027"/>
    <x v="1"/>
    <x v="0"/>
    <x v="3"/>
    <n v="4.8292188999999999E-2"/>
    <n v="0"/>
    <n v="133.1626"/>
    <n v="3.9"/>
  </r>
  <r>
    <x v="0"/>
    <n v="4120"/>
    <s v="FDY47"/>
    <x v="8"/>
    <x v="7"/>
    <s v="OUT027"/>
    <x v="1"/>
    <x v="0"/>
    <x v="3"/>
    <n v="5.4220617999999998E-2"/>
    <n v="0"/>
    <n v="129.131"/>
    <n v="3.9"/>
  </r>
  <r>
    <x v="0"/>
    <n v="4121"/>
    <s v="FDF28"/>
    <x v="2"/>
    <x v="7"/>
    <s v="OUT027"/>
    <x v="1"/>
    <x v="0"/>
    <x v="3"/>
    <n v="3.7681358999999998E-2"/>
    <n v="0"/>
    <n v="125.1046"/>
    <n v="3.9"/>
  </r>
  <r>
    <x v="0"/>
    <n v="4122"/>
    <s v="FDF29"/>
    <x v="2"/>
    <x v="7"/>
    <s v="OUT027"/>
    <x v="1"/>
    <x v="0"/>
    <x v="3"/>
    <n v="1.9837654999999999E-2"/>
    <n v="0"/>
    <n v="128.131"/>
    <n v="3.9"/>
  </r>
  <r>
    <x v="0"/>
    <n v="4123"/>
    <s v="FDX07"/>
    <x v="0"/>
    <x v="7"/>
    <s v="OUT027"/>
    <x v="1"/>
    <x v="0"/>
    <x v="3"/>
    <n v="2.2807826E-2"/>
    <n v="0"/>
    <n v="183.495"/>
    <n v="3.9"/>
  </r>
  <r>
    <x v="0"/>
    <n v="4124"/>
    <s v="FDY56"/>
    <x v="0"/>
    <x v="7"/>
    <s v="OUT027"/>
    <x v="1"/>
    <x v="0"/>
    <x v="3"/>
    <n v="6.2109174000000003E-2"/>
    <n v="0"/>
    <n v="223.7062"/>
    <n v="3.9"/>
  </r>
  <r>
    <x v="0"/>
    <n v="4125"/>
    <s v="FDW51"/>
    <x v="7"/>
    <x v="7"/>
    <s v="OUT027"/>
    <x v="1"/>
    <x v="0"/>
    <x v="3"/>
    <n v="9.4201477000000006E-2"/>
    <n v="0"/>
    <n v="213.35599999999999"/>
    <n v="3.9"/>
  </r>
  <r>
    <x v="0"/>
    <n v="4126"/>
    <s v="FDG21"/>
    <x v="14"/>
    <x v="7"/>
    <s v="OUT027"/>
    <x v="1"/>
    <x v="0"/>
    <x v="3"/>
    <n v="0.14559143799999999"/>
    <n v="0"/>
    <n v="148.70500000000001"/>
    <n v="3.9"/>
  </r>
  <r>
    <x v="0"/>
    <n v="4127"/>
    <s v="FDJ34"/>
    <x v="6"/>
    <x v="7"/>
    <s v="OUT027"/>
    <x v="1"/>
    <x v="0"/>
    <x v="3"/>
    <n v="9.3202196000000001E-2"/>
    <n v="0"/>
    <n v="125.57040000000001"/>
    <n v="3.9"/>
  </r>
  <r>
    <x v="0"/>
    <n v="4128"/>
    <s v="DRA24"/>
    <x v="4"/>
    <x v="7"/>
    <s v="OUT027"/>
    <x v="1"/>
    <x v="0"/>
    <x v="3"/>
    <n v="3.9734881999999999E-2"/>
    <n v="0"/>
    <n v="165.7868"/>
    <n v="3.9"/>
  </r>
  <r>
    <x v="1"/>
    <n v="4129"/>
    <s v="NCY41"/>
    <x v="1"/>
    <x v="7"/>
    <s v="OUT027"/>
    <x v="1"/>
    <x v="0"/>
    <x v="3"/>
    <n v="7.5368868000000006E-2"/>
    <n v="0"/>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n v="0"/>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n v="0"/>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n v="0"/>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n v="0"/>
    <n v="124.10720000000001"/>
    <n v="3.8"/>
  </r>
  <r>
    <x v="1"/>
    <n v="4178"/>
    <s v="FDY21"/>
    <x v="6"/>
    <x v="7"/>
    <s v="OUT019"/>
    <x v="0"/>
    <x v="1"/>
    <x v="2"/>
    <n v="0.30374337000000001"/>
    <n v="0"/>
    <n v="196.011"/>
    <n v="3.8"/>
  </r>
  <r>
    <x v="1"/>
    <n v="4179"/>
    <s v="DRG37"/>
    <x v="4"/>
    <x v="7"/>
    <s v="OUT019"/>
    <x v="0"/>
    <x v="1"/>
    <x v="2"/>
    <n v="3.3929133E-2"/>
    <n v="0"/>
    <n v="154.3972"/>
    <n v="3.8"/>
  </r>
  <r>
    <x v="1"/>
    <n v="4180"/>
    <s v="FDT60"/>
    <x v="13"/>
    <x v="7"/>
    <s v="OUT019"/>
    <x v="0"/>
    <x v="1"/>
    <x v="2"/>
    <n v="0.13227533799999999"/>
    <n v="0"/>
    <n v="123.83880000000001"/>
    <n v="3.8"/>
  </r>
  <r>
    <x v="1"/>
    <n v="4181"/>
    <s v="FDW48"/>
    <x v="13"/>
    <x v="7"/>
    <s v="OUT019"/>
    <x v="0"/>
    <x v="1"/>
    <x v="2"/>
    <n v="0"/>
    <n v="0"/>
    <n v="81.861800000000002"/>
    <n v="3.8"/>
  </r>
  <r>
    <x v="1"/>
    <n v="4182"/>
    <s v="FDG02"/>
    <x v="3"/>
    <x v="7"/>
    <s v="OUT019"/>
    <x v="0"/>
    <x v="1"/>
    <x v="2"/>
    <n v="1.9716846E-2"/>
    <n v="0"/>
    <n v="191.9188"/>
    <n v="3.8"/>
  </r>
  <r>
    <x v="1"/>
    <n v="4183"/>
    <s v="FDG32"/>
    <x v="0"/>
    <x v="7"/>
    <s v="OUT019"/>
    <x v="0"/>
    <x v="1"/>
    <x v="2"/>
    <n v="0.30814544799999999"/>
    <n v="0"/>
    <n v="222.0772"/>
    <n v="3.8"/>
  </r>
  <r>
    <x v="1"/>
    <n v="4184"/>
    <s v="DRI11"/>
    <x v="9"/>
    <x v="7"/>
    <s v="OUT019"/>
    <x v="0"/>
    <x v="1"/>
    <x v="2"/>
    <n v="6.0237464999999997E-2"/>
    <n v="0"/>
    <n v="115.9834"/>
    <n v="3.8"/>
  </r>
  <r>
    <x v="1"/>
    <n v="4185"/>
    <s v="NCN29"/>
    <x v="1"/>
    <x v="7"/>
    <s v="OUT019"/>
    <x v="0"/>
    <x v="1"/>
    <x v="2"/>
    <n v="2.1214363999999999E-2"/>
    <n v="0"/>
    <n v="48.203400000000002"/>
    <n v="3.8"/>
  </r>
  <r>
    <x v="1"/>
    <n v="4186"/>
    <s v="NCB31"/>
    <x v="5"/>
    <x v="7"/>
    <s v="OUT019"/>
    <x v="0"/>
    <x v="1"/>
    <x v="2"/>
    <n v="0.20778348299999999"/>
    <n v="0"/>
    <n v="262.291"/>
    <n v="3.8"/>
  </r>
  <r>
    <x v="1"/>
    <n v="4187"/>
    <s v="NCN43"/>
    <x v="10"/>
    <x v="7"/>
    <s v="OUT019"/>
    <x v="0"/>
    <x v="1"/>
    <x v="2"/>
    <n v="1.1835436E-2"/>
    <n v="0"/>
    <n v="121.373"/>
    <n v="3.8"/>
  </r>
  <r>
    <x v="0"/>
    <n v="4188"/>
    <s v="FDG12"/>
    <x v="13"/>
    <x v="7"/>
    <s v="OUT019"/>
    <x v="0"/>
    <x v="1"/>
    <x v="2"/>
    <n v="0"/>
    <n v="0"/>
    <n v="121.3098"/>
    <n v="3.8"/>
  </r>
  <r>
    <x v="0"/>
    <n v="4189"/>
    <s v="FDV60"/>
    <x v="13"/>
    <x v="7"/>
    <s v="OUT019"/>
    <x v="0"/>
    <x v="1"/>
    <x v="2"/>
    <n v="0.20548439499999999"/>
    <n v="0"/>
    <n v="198.011"/>
    <n v="3.8"/>
  </r>
  <r>
    <x v="0"/>
    <n v="4190"/>
    <s v="FDZ32"/>
    <x v="0"/>
    <x v="7"/>
    <s v="OUT019"/>
    <x v="0"/>
    <x v="1"/>
    <x v="2"/>
    <n v="6.6765522999999993E-2"/>
    <n v="0"/>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n v="0"/>
    <n v="211.55860000000001"/>
    <n v="3.8"/>
  </r>
  <r>
    <x v="1"/>
    <n v="4355"/>
    <s v="FDX24"/>
    <x v="13"/>
    <x v="7"/>
    <s v="OUT027"/>
    <x v="1"/>
    <x v="0"/>
    <x v="3"/>
    <n v="1.3861607E-2"/>
    <n v="0"/>
    <n v="94.446200000000005"/>
    <n v="3.8"/>
  </r>
  <r>
    <x v="1"/>
    <n v="4356"/>
    <s v="FDO50"/>
    <x v="3"/>
    <x v="7"/>
    <s v="OUT027"/>
    <x v="1"/>
    <x v="0"/>
    <x v="3"/>
    <n v="7.7790204000000002E-2"/>
    <n v="0"/>
    <n v="93.080399999999997"/>
    <n v="3.8"/>
  </r>
  <r>
    <x v="1"/>
    <n v="4357"/>
    <s v="FDV49"/>
    <x v="3"/>
    <x v="7"/>
    <s v="OUT027"/>
    <x v="1"/>
    <x v="0"/>
    <x v="3"/>
    <n v="2.5702129000000001E-2"/>
    <n v="0"/>
    <n v="262.62259999999998"/>
    <n v="3.8"/>
  </r>
  <r>
    <x v="1"/>
    <n v="4358"/>
    <s v="FDD29"/>
    <x v="2"/>
    <x v="7"/>
    <s v="OUT027"/>
    <x v="1"/>
    <x v="0"/>
    <x v="3"/>
    <n v="1.8321361000000001E-2"/>
    <n v="0"/>
    <n v="255.3698"/>
    <n v="3.8"/>
  </r>
  <r>
    <x v="1"/>
    <n v="4359"/>
    <s v="FDE09"/>
    <x v="0"/>
    <x v="7"/>
    <s v="OUT027"/>
    <x v="1"/>
    <x v="0"/>
    <x v="3"/>
    <n v="2.1498768000000001E-2"/>
    <n v="0"/>
    <n v="111.5228"/>
    <n v="3.8"/>
  </r>
  <r>
    <x v="1"/>
    <n v="4360"/>
    <s v="FDJ32"/>
    <x v="0"/>
    <x v="7"/>
    <s v="OUT027"/>
    <x v="1"/>
    <x v="0"/>
    <x v="3"/>
    <n v="5.7512480999999997E-2"/>
    <n v="0"/>
    <n v="62.553600000000003"/>
    <n v="3.8"/>
  </r>
  <r>
    <x v="1"/>
    <n v="4361"/>
    <s v="FDN32"/>
    <x v="0"/>
    <x v="7"/>
    <s v="OUT027"/>
    <x v="1"/>
    <x v="0"/>
    <x v="3"/>
    <n v="1.5485016000000001E-2"/>
    <n v="0"/>
    <n v="185.6266"/>
    <n v="3.8"/>
  </r>
  <r>
    <x v="1"/>
    <n v="4362"/>
    <s v="FDZ56"/>
    <x v="0"/>
    <x v="7"/>
    <s v="OUT027"/>
    <x v="1"/>
    <x v="0"/>
    <x v="3"/>
    <n v="2.5612348E-2"/>
    <n v="0"/>
    <n v="168.2474"/>
    <n v="3.8"/>
  </r>
  <r>
    <x v="1"/>
    <n v="4363"/>
    <s v="DRI23"/>
    <x v="9"/>
    <x v="7"/>
    <s v="OUT027"/>
    <x v="1"/>
    <x v="0"/>
    <x v="3"/>
    <n v="0.13653256899999999"/>
    <n v="0"/>
    <n v="159.65780000000001"/>
    <n v="3.8"/>
  </r>
  <r>
    <x v="1"/>
    <n v="4364"/>
    <s v="DRL47"/>
    <x v="9"/>
    <x v="7"/>
    <s v="OUT027"/>
    <x v="1"/>
    <x v="0"/>
    <x v="3"/>
    <n v="3.8549197E-2"/>
    <n v="0"/>
    <n v="127.53619999999999"/>
    <n v="3.8"/>
  </r>
  <r>
    <x v="1"/>
    <n v="4365"/>
    <s v="NCB07"/>
    <x v="5"/>
    <x v="7"/>
    <s v="OUT027"/>
    <x v="1"/>
    <x v="0"/>
    <x v="3"/>
    <n v="7.7132215000000004E-2"/>
    <n v="0"/>
    <n v="197.411"/>
    <n v="3.8"/>
  </r>
  <r>
    <x v="1"/>
    <n v="4366"/>
    <s v="NCF42"/>
    <x v="5"/>
    <x v="7"/>
    <s v="OUT027"/>
    <x v="1"/>
    <x v="0"/>
    <x v="3"/>
    <n v="0.16657250100000001"/>
    <n v="0"/>
    <n v="176.1712"/>
    <n v="3.8"/>
  </r>
  <r>
    <x v="1"/>
    <n v="4367"/>
    <s v="NCK06"/>
    <x v="5"/>
    <x v="7"/>
    <s v="OUT027"/>
    <x v="1"/>
    <x v="0"/>
    <x v="3"/>
    <n v="8.6046569999999999E-3"/>
    <n v="0"/>
    <n v="123.1756"/>
    <n v="3.8"/>
  </r>
  <r>
    <x v="1"/>
    <n v="4368"/>
    <s v="NCM07"/>
    <x v="10"/>
    <x v="7"/>
    <s v="OUT027"/>
    <x v="1"/>
    <x v="0"/>
    <x v="3"/>
    <n v="3.9768320000000003E-2"/>
    <n v="0"/>
    <n v="83.990799999999993"/>
    <n v="3.8"/>
  </r>
  <r>
    <x v="1"/>
    <n v="4369"/>
    <s v="NCO02"/>
    <x v="10"/>
    <x v="7"/>
    <s v="OUT027"/>
    <x v="1"/>
    <x v="0"/>
    <x v="3"/>
    <n v="7.3012870999999993E-2"/>
    <n v="0"/>
    <n v="67.514200000000002"/>
    <n v="3.8"/>
  </r>
  <r>
    <x v="1"/>
    <n v="4370"/>
    <s v="FDI57"/>
    <x v="14"/>
    <x v="7"/>
    <s v="OUT027"/>
    <x v="1"/>
    <x v="0"/>
    <x v="3"/>
    <n v="5.3764023000000001E-2"/>
    <n v="0"/>
    <n v="195.77680000000001"/>
    <n v="3.8"/>
  </r>
  <r>
    <x v="1"/>
    <n v="4371"/>
    <s v="FDE46"/>
    <x v="6"/>
    <x v="7"/>
    <s v="OUT027"/>
    <x v="1"/>
    <x v="0"/>
    <x v="3"/>
    <n v="1.5693327999999999E-2"/>
    <n v="0"/>
    <n v="150.73660000000001"/>
    <n v="3.8"/>
  </r>
  <r>
    <x v="0"/>
    <n v="4372"/>
    <s v="FDJ36"/>
    <x v="13"/>
    <x v="7"/>
    <s v="OUT027"/>
    <x v="1"/>
    <x v="0"/>
    <x v="3"/>
    <n v="0.12763896599999999"/>
    <n v="0"/>
    <n v="104.53319999999999"/>
    <n v="3.8"/>
  </r>
  <r>
    <x v="0"/>
    <n v="4373"/>
    <s v="FDB38"/>
    <x v="3"/>
    <x v="7"/>
    <s v="OUT027"/>
    <x v="1"/>
    <x v="0"/>
    <x v="3"/>
    <n v="2.7214272000000001E-2"/>
    <n v="0"/>
    <n v="159.69200000000001"/>
    <n v="3.8"/>
  </r>
  <r>
    <x v="0"/>
    <n v="4374"/>
    <s v="FDD26"/>
    <x v="3"/>
    <x v="7"/>
    <s v="OUT027"/>
    <x v="1"/>
    <x v="0"/>
    <x v="3"/>
    <n v="7.1806045999999998E-2"/>
    <n v="0"/>
    <n v="186.5924"/>
    <n v="3.8"/>
  </r>
  <r>
    <x v="0"/>
    <n v="4375"/>
    <s v="FDR01"/>
    <x v="3"/>
    <x v="7"/>
    <s v="OUT027"/>
    <x v="1"/>
    <x v="0"/>
    <x v="3"/>
    <n v="5.3361619999999998E-2"/>
    <n v="0"/>
    <n v="200.17420000000001"/>
    <n v="3.8"/>
  </r>
  <r>
    <x v="0"/>
    <n v="4376"/>
    <s v="FDR25"/>
    <x v="3"/>
    <x v="7"/>
    <s v="OUT027"/>
    <x v="1"/>
    <x v="0"/>
    <x v="3"/>
    <n v="0.13884628900000001"/>
    <n v="0"/>
    <n v="263.78840000000002"/>
    <n v="3.8"/>
  </r>
  <r>
    <x v="0"/>
    <n v="4377"/>
    <s v="FDN03"/>
    <x v="7"/>
    <x v="7"/>
    <s v="OUT027"/>
    <x v="1"/>
    <x v="0"/>
    <x v="3"/>
    <n v="1.5016890999999999E-2"/>
    <n v="0"/>
    <n v="248.64080000000001"/>
    <n v="3.8"/>
  </r>
  <r>
    <x v="0"/>
    <n v="4378"/>
    <s v="FDR27"/>
    <x v="7"/>
    <x v="7"/>
    <s v="OUT027"/>
    <x v="1"/>
    <x v="0"/>
    <x v="3"/>
    <n v="9.5635060999999993E-2"/>
    <n v="0"/>
    <n v="130.79419999999999"/>
    <n v="3.8"/>
  </r>
  <r>
    <x v="0"/>
    <n v="4379"/>
    <s v="FDU51"/>
    <x v="7"/>
    <x v="7"/>
    <s v="OUT027"/>
    <x v="1"/>
    <x v="0"/>
    <x v="3"/>
    <n v="9.6046303999999999E-2"/>
    <n v="0"/>
    <n v="178.7028"/>
    <n v="3.8"/>
  </r>
  <r>
    <x v="0"/>
    <n v="4380"/>
    <s v="FDX39"/>
    <x v="7"/>
    <x v="7"/>
    <s v="OUT027"/>
    <x v="1"/>
    <x v="0"/>
    <x v="3"/>
    <n v="4.9435597999999997E-2"/>
    <n v="0"/>
    <n v="209.7586"/>
    <n v="3.8"/>
  </r>
  <r>
    <x v="0"/>
    <n v="4381"/>
    <s v="FDT09"/>
    <x v="6"/>
    <x v="7"/>
    <s v="OUT027"/>
    <x v="1"/>
    <x v="0"/>
    <x v="3"/>
    <n v="1.2203914999999999E-2"/>
    <n v="0"/>
    <n v="133.22839999999999"/>
    <n v="3.8"/>
  </r>
  <r>
    <x v="1"/>
    <n v="4382"/>
    <s v="FDQ20"/>
    <x v="0"/>
    <x v="7"/>
    <s v="OUT027"/>
    <x v="1"/>
    <x v="0"/>
    <x v="3"/>
    <n v="2.9640604000000001E-2"/>
    <n v="0"/>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n v="0"/>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n v="0"/>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n v="0"/>
    <n v="97.009399999999999"/>
    <n v="3.7"/>
  </r>
  <r>
    <x v="1"/>
    <n v="4393"/>
    <s v="NCB30"/>
    <x v="5"/>
    <x v="7"/>
    <s v="OUT027"/>
    <x v="1"/>
    <x v="0"/>
    <x v="3"/>
    <n v="2.5578526000000001E-2"/>
    <n v="0"/>
    <n v="198.80840000000001"/>
    <n v="3.7"/>
  </r>
  <r>
    <x v="0"/>
    <n v="4394"/>
    <s v="FDX49"/>
    <x v="3"/>
    <x v="7"/>
    <s v="OUT027"/>
    <x v="1"/>
    <x v="0"/>
    <x v="3"/>
    <n v="0.101338651"/>
    <n v="0"/>
    <n v="232.63"/>
    <n v="3.7"/>
  </r>
  <r>
    <x v="0"/>
    <n v="4395"/>
    <s v="FDS45"/>
    <x v="6"/>
    <x v="7"/>
    <s v="OUT019"/>
    <x v="0"/>
    <x v="1"/>
    <x v="2"/>
    <n v="5.1643608000000001E-2"/>
    <n v="0"/>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n v="0"/>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n v="0"/>
    <n v="54.395600000000002"/>
    <n v="3.7"/>
  </r>
  <r>
    <x v="1"/>
    <n v="4434"/>
    <s v="FDB09"/>
    <x v="0"/>
    <x v="7"/>
    <s v="OUT019"/>
    <x v="0"/>
    <x v="1"/>
    <x v="2"/>
    <n v="0.100493148"/>
    <n v="0"/>
    <n v="123.1046"/>
    <n v="3.7"/>
  </r>
  <r>
    <x v="1"/>
    <n v="4435"/>
    <s v="NCE19"/>
    <x v="5"/>
    <x v="7"/>
    <s v="OUT019"/>
    <x v="0"/>
    <x v="1"/>
    <x v="2"/>
    <n v="0.16285659299999999"/>
    <n v="0"/>
    <n v="54.595599999999997"/>
    <n v="3.7"/>
  </r>
  <r>
    <x v="1"/>
    <n v="4436"/>
    <s v="NCQ30"/>
    <x v="5"/>
    <x v="7"/>
    <s v="OUT019"/>
    <x v="0"/>
    <x v="1"/>
    <x v="2"/>
    <n v="5.0901813999999997E-2"/>
    <n v="0"/>
    <n v="120.5414"/>
    <n v="3.7"/>
  </r>
  <r>
    <x v="1"/>
    <n v="4437"/>
    <s v="FDK27"/>
    <x v="7"/>
    <x v="7"/>
    <s v="OUT019"/>
    <x v="0"/>
    <x v="1"/>
    <x v="2"/>
    <n v="1.5664229000000002E-2"/>
    <n v="0"/>
    <n v="122.2756"/>
    <n v="3.7"/>
  </r>
  <r>
    <x v="1"/>
    <n v="4438"/>
    <s v="FDP39"/>
    <x v="7"/>
    <x v="7"/>
    <s v="OUT019"/>
    <x v="0"/>
    <x v="1"/>
    <x v="2"/>
    <n v="0.121554149"/>
    <n v="0"/>
    <n v="53.732399999999998"/>
    <n v="3.7"/>
  </r>
  <r>
    <x v="1"/>
    <n v="4439"/>
    <s v="NCL07"/>
    <x v="10"/>
    <x v="7"/>
    <s v="OUT019"/>
    <x v="0"/>
    <x v="1"/>
    <x v="2"/>
    <n v="5.4869769999999998E-2"/>
    <n v="0"/>
    <n v="40.548000000000002"/>
    <n v="3.7"/>
  </r>
  <r>
    <x v="1"/>
    <n v="4440"/>
    <s v="FDP46"/>
    <x v="6"/>
    <x v="7"/>
    <s v="OUT019"/>
    <x v="0"/>
    <x v="1"/>
    <x v="2"/>
    <n v="0.13064231000000001"/>
    <n v="0"/>
    <n v="88.382999999999996"/>
    <n v="3.7"/>
  </r>
  <r>
    <x v="1"/>
    <n v="4441"/>
    <s v="FDV46"/>
    <x v="6"/>
    <x v="7"/>
    <s v="OUT019"/>
    <x v="0"/>
    <x v="1"/>
    <x v="2"/>
    <n v="2.2074764E-2"/>
    <n v="0"/>
    <n v="141.41800000000001"/>
    <n v="3.7"/>
  </r>
  <r>
    <x v="1"/>
    <n v="4442"/>
    <s v="DRH13"/>
    <x v="4"/>
    <x v="7"/>
    <s v="OUT019"/>
    <x v="0"/>
    <x v="1"/>
    <x v="2"/>
    <n v="4.1821227000000002E-2"/>
    <n v="0"/>
    <n v="107.628"/>
    <n v="3.7"/>
  </r>
  <r>
    <x v="0"/>
    <n v="4443"/>
    <s v="FDR01"/>
    <x v="3"/>
    <x v="7"/>
    <s v="OUT019"/>
    <x v="0"/>
    <x v="1"/>
    <x v="2"/>
    <n v="9.3883944999999996E-2"/>
    <n v="0"/>
    <n v="200.4742"/>
    <n v="3.7"/>
  </r>
  <r>
    <x v="0"/>
    <n v="4444"/>
    <s v="FDU01"/>
    <x v="3"/>
    <x v="7"/>
    <s v="OUT019"/>
    <x v="0"/>
    <x v="1"/>
    <x v="2"/>
    <n v="2.1002171E-2"/>
    <n v="0"/>
    <n v="185.19239999999999"/>
    <n v="3.7"/>
  </r>
  <r>
    <x v="0"/>
    <n v="4445"/>
    <s v="FDT07"/>
    <x v="0"/>
    <x v="7"/>
    <s v="OUT019"/>
    <x v="0"/>
    <x v="1"/>
    <x v="2"/>
    <n v="0.135375727"/>
    <n v="0"/>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n v="0"/>
    <n v="109.18859999999999"/>
    <n v="3.7"/>
  </r>
  <r>
    <x v="1"/>
    <n v="4578"/>
    <s v="NCA42"/>
    <x v="5"/>
    <x v="7"/>
    <s v="OUT027"/>
    <x v="1"/>
    <x v="0"/>
    <x v="3"/>
    <n v="2.8410334999999998E-2"/>
    <n v="0"/>
    <n v="158.06039999999999"/>
    <n v="3.7"/>
  </r>
  <r>
    <x v="1"/>
    <n v="4579"/>
    <s v="NCQ50"/>
    <x v="5"/>
    <x v="7"/>
    <s v="OUT027"/>
    <x v="1"/>
    <x v="0"/>
    <x v="3"/>
    <n v="3.4141212999999997E-2"/>
    <n v="0"/>
    <n v="211.92179999999999"/>
    <n v="3.7"/>
  </r>
  <r>
    <x v="1"/>
    <n v="4580"/>
    <s v="FDU39"/>
    <x v="7"/>
    <x v="7"/>
    <s v="OUT027"/>
    <x v="1"/>
    <x v="0"/>
    <x v="3"/>
    <n v="3.5863435999999999E-2"/>
    <n v="0"/>
    <n v="58.356200000000001"/>
    <n v="3.7"/>
  </r>
  <r>
    <x v="1"/>
    <n v="4581"/>
    <s v="FDF58"/>
    <x v="6"/>
    <x v="7"/>
    <s v="OUT027"/>
    <x v="1"/>
    <x v="0"/>
    <x v="3"/>
    <n v="9.5347580000000008E-3"/>
    <n v="0"/>
    <n v="64.551000000000002"/>
    <n v="3.7"/>
  </r>
  <r>
    <x v="1"/>
    <n v="4582"/>
    <s v="FDH34"/>
    <x v="6"/>
    <x v="7"/>
    <s v="OUT027"/>
    <x v="1"/>
    <x v="0"/>
    <x v="3"/>
    <n v="3.0944665999999999E-2"/>
    <n v="0"/>
    <n v="186.65819999999999"/>
    <n v="3.7"/>
  </r>
  <r>
    <x v="1"/>
    <n v="4583"/>
    <s v="FDK57"/>
    <x v="6"/>
    <x v="7"/>
    <s v="OUT027"/>
    <x v="1"/>
    <x v="0"/>
    <x v="3"/>
    <n v="7.9904067999999995E-2"/>
    <n v="0"/>
    <n v="120.044"/>
    <n v="3.7"/>
  </r>
  <r>
    <x v="1"/>
    <n v="4584"/>
    <s v="FDM10"/>
    <x v="6"/>
    <x v="7"/>
    <s v="OUT027"/>
    <x v="1"/>
    <x v="0"/>
    <x v="3"/>
    <n v="7.5603698999999996E-2"/>
    <n v="0"/>
    <n v="215.12180000000001"/>
    <n v="3.7"/>
  </r>
  <r>
    <x v="1"/>
    <n v="4585"/>
    <s v="FDQ22"/>
    <x v="6"/>
    <x v="7"/>
    <s v="OUT027"/>
    <x v="1"/>
    <x v="0"/>
    <x v="3"/>
    <n v="2.9595637000000001E-2"/>
    <n v="0"/>
    <n v="40.982199999999999"/>
    <n v="3.7"/>
  </r>
  <r>
    <x v="1"/>
    <n v="4586"/>
    <s v="DRI01"/>
    <x v="4"/>
    <x v="7"/>
    <s v="OUT027"/>
    <x v="1"/>
    <x v="0"/>
    <x v="3"/>
    <n v="3.4286109000000002E-2"/>
    <n v="0"/>
    <n v="173.1422"/>
    <n v="3.7"/>
  </r>
  <r>
    <x v="0"/>
    <n v="4587"/>
    <s v="FDT24"/>
    <x v="13"/>
    <x v="7"/>
    <s v="OUT027"/>
    <x v="1"/>
    <x v="0"/>
    <x v="3"/>
    <n v="0"/>
    <n v="0"/>
    <n v="75.9328"/>
    <n v="3.7"/>
  </r>
  <r>
    <x v="0"/>
    <n v="4588"/>
    <s v="FDT47"/>
    <x v="8"/>
    <x v="7"/>
    <s v="OUT027"/>
    <x v="1"/>
    <x v="0"/>
    <x v="3"/>
    <n v="2.4390149999999999E-2"/>
    <n v="0"/>
    <n v="95.906800000000004"/>
    <n v="3.7"/>
  </r>
  <r>
    <x v="0"/>
    <n v="4589"/>
    <s v="FDD40"/>
    <x v="11"/>
    <x v="7"/>
    <s v="OUT027"/>
    <x v="1"/>
    <x v="0"/>
    <x v="3"/>
    <n v="1.4721718999999999E-2"/>
    <n v="0"/>
    <n v="193.61619999999999"/>
    <n v="3.7"/>
  </r>
  <r>
    <x v="0"/>
    <n v="4590"/>
    <s v="FDG56"/>
    <x v="0"/>
    <x v="7"/>
    <s v="OUT027"/>
    <x v="1"/>
    <x v="0"/>
    <x v="3"/>
    <n v="7.1106549000000005E-2"/>
    <n v="0"/>
    <n v="60.553600000000003"/>
    <n v="3.7"/>
  </r>
  <r>
    <x v="0"/>
    <n v="4591"/>
    <s v="FDQ45"/>
    <x v="6"/>
    <x v="7"/>
    <s v="OUT027"/>
    <x v="1"/>
    <x v="0"/>
    <x v="3"/>
    <n v="1.0864186E-2"/>
    <n v="0"/>
    <n v="185.36080000000001"/>
    <n v="3.7"/>
  </r>
  <r>
    <x v="0"/>
    <n v="4592"/>
    <s v="DRC01"/>
    <x v="4"/>
    <x v="7"/>
    <s v="OUT027"/>
    <x v="1"/>
    <x v="0"/>
    <x v="3"/>
    <n v="1.9107026999999999E-2"/>
    <n v="0"/>
    <n v="48.469200000000001"/>
    <n v="3.7"/>
  </r>
  <r>
    <x v="0"/>
    <n v="4593"/>
    <s v="FDD59"/>
    <x v="15"/>
    <x v="7"/>
    <s v="OUT027"/>
    <x v="1"/>
    <x v="0"/>
    <x v="3"/>
    <n v="6.5860322999999998E-2"/>
    <n v="0"/>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n v="0"/>
    <n v="62.919400000000003"/>
    <n v="3.6"/>
  </r>
  <r>
    <x v="0"/>
    <n v="4601"/>
    <s v="FDG33"/>
    <x v="14"/>
    <x v="7"/>
    <s v="OUT027"/>
    <x v="1"/>
    <x v="0"/>
    <x v="3"/>
    <n v="0.13956115999999999"/>
    <n v="0"/>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n v="0"/>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n v="0"/>
    <n v="47.106000000000002"/>
    <n v="3.6"/>
  </r>
  <r>
    <x v="1"/>
    <n v="4622"/>
    <s v="DRK11"/>
    <x v="9"/>
    <x v="7"/>
    <s v="OUT019"/>
    <x v="0"/>
    <x v="1"/>
    <x v="2"/>
    <n v="1.8847114000000002E-2"/>
    <n v="0"/>
    <n v="148.03919999999999"/>
    <n v="3.6"/>
  </r>
  <r>
    <x v="1"/>
    <n v="4623"/>
    <s v="NCM26"/>
    <x v="10"/>
    <x v="7"/>
    <s v="OUT019"/>
    <x v="0"/>
    <x v="1"/>
    <x v="2"/>
    <n v="4.0520753999999999E-2"/>
    <n v="0"/>
    <n v="153.934"/>
    <n v="3.6"/>
  </r>
  <r>
    <x v="1"/>
    <n v="4624"/>
    <s v="FDK09"/>
    <x v="6"/>
    <x v="7"/>
    <s v="OUT019"/>
    <x v="0"/>
    <x v="1"/>
    <x v="2"/>
    <n v="0.160665697"/>
    <n v="0"/>
    <n v="227.5352"/>
    <n v="3.6"/>
  </r>
  <r>
    <x v="1"/>
    <n v="4625"/>
    <s v="FDT46"/>
    <x v="6"/>
    <x v="7"/>
    <s v="OUT019"/>
    <x v="0"/>
    <x v="1"/>
    <x v="2"/>
    <n v="5.3939315000000002E-2"/>
    <n v="0"/>
    <n v="52.1008"/>
    <n v="3.6"/>
  </r>
  <r>
    <x v="0"/>
    <n v="4626"/>
    <s v="FDP13"/>
    <x v="3"/>
    <x v="7"/>
    <s v="OUT019"/>
    <x v="0"/>
    <x v="1"/>
    <x v="2"/>
    <n v="0.23518320500000001"/>
    <n v="0"/>
    <n v="41.548000000000002"/>
    <n v="3.6"/>
  </r>
  <r>
    <x v="0"/>
    <n v="4627"/>
    <s v="FDO03"/>
    <x v="7"/>
    <x v="7"/>
    <s v="OUT019"/>
    <x v="0"/>
    <x v="1"/>
    <x v="2"/>
    <n v="6.4577332000000001E-2"/>
    <n v="0"/>
    <n v="230.5352"/>
    <n v="3.6"/>
  </r>
  <r>
    <x v="0"/>
    <n v="4628"/>
    <s v="FDO09"/>
    <x v="6"/>
    <x v="7"/>
    <s v="OUT019"/>
    <x v="0"/>
    <x v="1"/>
    <x v="2"/>
    <n v="0"/>
    <n v="0"/>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n v="0"/>
    <n v="89.185599999999994"/>
    <n v="3.6"/>
  </r>
  <r>
    <x v="1"/>
    <n v="4729"/>
    <s v="FDU38"/>
    <x v="11"/>
    <x v="7"/>
    <s v="OUT027"/>
    <x v="1"/>
    <x v="0"/>
    <x v="3"/>
    <n v="8.2150144999999994E-2"/>
    <n v="0"/>
    <n v="192.9504"/>
    <n v="3.6"/>
  </r>
  <r>
    <x v="1"/>
    <n v="4730"/>
    <s v="FDB32"/>
    <x v="0"/>
    <x v="7"/>
    <s v="OUT027"/>
    <x v="1"/>
    <x v="0"/>
    <x v="3"/>
    <n v="2.3339367E-2"/>
    <n v="0"/>
    <n v="94.877799999999993"/>
    <n v="3.6"/>
  </r>
  <r>
    <x v="1"/>
    <n v="4731"/>
    <s v="FDS08"/>
    <x v="0"/>
    <x v="7"/>
    <s v="OUT027"/>
    <x v="1"/>
    <x v="0"/>
    <x v="3"/>
    <n v="5.6685382999999999E-2"/>
    <n v="0"/>
    <n v="178.43700000000001"/>
    <n v="3.6"/>
  </r>
  <r>
    <x v="1"/>
    <n v="4732"/>
    <s v="DRG23"/>
    <x v="9"/>
    <x v="7"/>
    <s v="OUT027"/>
    <x v="1"/>
    <x v="0"/>
    <x v="3"/>
    <n v="8.6360961999999999E-2"/>
    <n v="0"/>
    <n v="151.26820000000001"/>
    <n v="3.6"/>
  </r>
  <r>
    <x v="1"/>
    <n v="4733"/>
    <s v="NCK18"/>
    <x v="5"/>
    <x v="7"/>
    <s v="OUT027"/>
    <x v="1"/>
    <x v="0"/>
    <x v="3"/>
    <n v="6.6656670000000001E-3"/>
    <n v="0"/>
    <n v="164.11840000000001"/>
    <n v="3.6"/>
  </r>
  <r>
    <x v="1"/>
    <n v="4734"/>
    <s v="NCT42"/>
    <x v="5"/>
    <x v="7"/>
    <s v="OUT027"/>
    <x v="1"/>
    <x v="0"/>
    <x v="3"/>
    <n v="2.4766802000000001E-2"/>
    <n v="0"/>
    <n v="151.03919999999999"/>
    <n v="3.6"/>
  </r>
  <r>
    <x v="1"/>
    <n v="4735"/>
    <s v="NCV30"/>
    <x v="5"/>
    <x v="7"/>
    <s v="OUT027"/>
    <x v="1"/>
    <x v="0"/>
    <x v="3"/>
    <n v="6.5612807999999995E-2"/>
    <n v="0"/>
    <n v="62.350999999999999"/>
    <n v="3.6"/>
  </r>
  <r>
    <x v="0"/>
    <n v="4736"/>
    <s v="FDL48"/>
    <x v="13"/>
    <x v="7"/>
    <s v="OUT027"/>
    <x v="1"/>
    <x v="0"/>
    <x v="3"/>
    <n v="8.1868040000000003E-2"/>
    <n v="0"/>
    <n v="46.803400000000003"/>
    <n v="3.6"/>
  </r>
  <r>
    <x v="0"/>
    <n v="4737"/>
    <s v="FDA02"/>
    <x v="11"/>
    <x v="7"/>
    <s v="OUT027"/>
    <x v="1"/>
    <x v="0"/>
    <x v="3"/>
    <n v="2.9578726E-2"/>
    <n v="0"/>
    <n v="143.57859999999999"/>
    <n v="3.6"/>
  </r>
  <r>
    <x v="0"/>
    <n v="4738"/>
    <s v="FDR32"/>
    <x v="0"/>
    <x v="7"/>
    <s v="OUT027"/>
    <x v="1"/>
    <x v="0"/>
    <x v="3"/>
    <n v="8.5392428000000006E-2"/>
    <n v="0"/>
    <n v="226.76939999999999"/>
    <n v="3.6"/>
  </r>
  <r>
    <x v="0"/>
    <n v="4739"/>
    <s v="FDZ39"/>
    <x v="7"/>
    <x v="7"/>
    <s v="OUT027"/>
    <x v="1"/>
    <x v="0"/>
    <x v="3"/>
    <n v="1.7937483000000001E-2"/>
    <n v="0"/>
    <n v="103.499"/>
    <n v="3.6"/>
  </r>
  <r>
    <x v="0"/>
    <n v="4740"/>
    <s v="FDI21"/>
    <x v="6"/>
    <x v="7"/>
    <s v="OUT027"/>
    <x v="1"/>
    <x v="0"/>
    <x v="3"/>
    <n v="5.6328717E-2"/>
    <n v="0"/>
    <n v="63.916800000000002"/>
    <n v="3.6"/>
  </r>
  <r>
    <x v="0"/>
    <n v="4741"/>
    <s v="FDO46"/>
    <x v="6"/>
    <x v="7"/>
    <s v="OUT027"/>
    <x v="1"/>
    <x v="0"/>
    <x v="3"/>
    <n v="1.4143673000000001E-2"/>
    <n v="0"/>
    <n v="187.38720000000001"/>
    <n v="3.6"/>
  </r>
  <r>
    <x v="0"/>
    <n v="4742"/>
    <s v="FDW21"/>
    <x v="6"/>
    <x v="7"/>
    <s v="OUT027"/>
    <x v="1"/>
    <x v="0"/>
    <x v="3"/>
    <n v="5.9350009999999996E-3"/>
    <n v="0"/>
    <n v="98.835800000000006"/>
    <n v="3.6"/>
  </r>
  <r>
    <x v="0"/>
    <n v="4743"/>
    <s v="FDI16"/>
    <x v="2"/>
    <x v="7"/>
    <s v="OUT027"/>
    <x v="1"/>
    <x v="0"/>
    <x v="3"/>
    <n v="0.13511820199999999"/>
    <n v="0"/>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n v="0"/>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n v="0"/>
    <n v="59.3536"/>
    <n v="3.5"/>
  </r>
  <r>
    <x v="1"/>
    <n v="4785"/>
    <s v="FDY09"/>
    <x v="6"/>
    <x v="7"/>
    <s v="OUT019"/>
    <x v="0"/>
    <x v="1"/>
    <x v="2"/>
    <n v="4.4122209000000003E-2"/>
    <n v="0"/>
    <n v="173.80539999999999"/>
    <n v="3.5"/>
  </r>
  <r>
    <x v="0"/>
    <n v="4786"/>
    <s v="FDH31"/>
    <x v="7"/>
    <x v="7"/>
    <s v="OUT019"/>
    <x v="0"/>
    <x v="1"/>
    <x v="2"/>
    <n v="0"/>
    <n v="0"/>
    <n v="98.2042"/>
    <n v="3.5"/>
  </r>
  <r>
    <x v="0"/>
    <n v="4787"/>
    <s v="DRA24"/>
    <x v="4"/>
    <x v="7"/>
    <s v="OUT019"/>
    <x v="0"/>
    <x v="1"/>
    <x v="2"/>
    <n v="6.9909187999999997E-2"/>
    <n v="0"/>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n v="0"/>
    <n v="125.7046"/>
    <n v="3.5"/>
  </r>
  <r>
    <x v="1"/>
    <n v="4898"/>
    <s v="FDX13"/>
    <x v="3"/>
    <x v="7"/>
    <s v="OUT027"/>
    <x v="1"/>
    <x v="0"/>
    <x v="3"/>
    <n v="4.7551568000000002E-2"/>
    <n v="0"/>
    <n v="249.10919999999999"/>
    <n v="3.5"/>
  </r>
  <r>
    <x v="1"/>
    <n v="4899"/>
    <s v="FDD51"/>
    <x v="11"/>
    <x v="7"/>
    <s v="OUT027"/>
    <x v="1"/>
    <x v="0"/>
    <x v="3"/>
    <n v="0.119371835"/>
    <n v="0"/>
    <n v="45.2744"/>
    <n v="3.5"/>
  </r>
  <r>
    <x v="1"/>
    <n v="4900"/>
    <s v="FDY50"/>
    <x v="11"/>
    <x v="7"/>
    <s v="OUT027"/>
    <x v="1"/>
    <x v="0"/>
    <x v="3"/>
    <n v="0.13032165200000001"/>
    <n v="0"/>
    <n v="88.717200000000005"/>
    <n v="3.5"/>
  </r>
  <r>
    <x v="1"/>
    <n v="4901"/>
    <s v="FDE32"/>
    <x v="0"/>
    <x v="7"/>
    <s v="OUT027"/>
    <x v="1"/>
    <x v="0"/>
    <x v="3"/>
    <n v="4.8522793000000002E-2"/>
    <n v="0"/>
    <n v="39.650599999999997"/>
    <n v="3.5"/>
  </r>
  <r>
    <x v="1"/>
    <n v="4902"/>
    <s v="FDG44"/>
    <x v="0"/>
    <x v="7"/>
    <s v="OUT027"/>
    <x v="1"/>
    <x v="0"/>
    <x v="3"/>
    <n v="0"/>
    <n v="0"/>
    <n v="55.729799999999997"/>
    <n v="3.5"/>
  </r>
  <r>
    <x v="1"/>
    <n v="4903"/>
    <s v="FDL44"/>
    <x v="0"/>
    <x v="7"/>
    <s v="OUT027"/>
    <x v="1"/>
    <x v="0"/>
    <x v="3"/>
    <n v="1.2215675E-2"/>
    <n v="0"/>
    <n v="162.7894"/>
    <n v="3.5"/>
  </r>
  <r>
    <x v="1"/>
    <n v="4904"/>
    <s v="NCO41"/>
    <x v="1"/>
    <x v="7"/>
    <s v="OUT027"/>
    <x v="1"/>
    <x v="0"/>
    <x v="3"/>
    <n v="1.8757586E-2"/>
    <n v="0"/>
    <n v="96.938400000000001"/>
    <n v="3.5"/>
  </r>
  <r>
    <x v="1"/>
    <n v="4905"/>
    <s v="NCU29"/>
    <x v="1"/>
    <x v="7"/>
    <s v="OUT027"/>
    <x v="1"/>
    <x v="0"/>
    <x v="3"/>
    <n v="2.5354071999999998E-2"/>
    <n v="0"/>
    <n v="144.476"/>
    <n v="3.5"/>
  </r>
  <r>
    <x v="1"/>
    <n v="4906"/>
    <s v="NCD55"/>
    <x v="5"/>
    <x v="7"/>
    <s v="OUT027"/>
    <x v="1"/>
    <x v="0"/>
    <x v="3"/>
    <n v="2.4213353999999999E-2"/>
    <n v="0"/>
    <n v="42.445399999999999"/>
    <n v="3.5"/>
  </r>
  <r>
    <x v="1"/>
    <n v="4907"/>
    <s v="NCG54"/>
    <x v="5"/>
    <x v="7"/>
    <s v="OUT027"/>
    <x v="1"/>
    <x v="0"/>
    <x v="3"/>
    <n v="7.9419800999999998E-2"/>
    <n v="0"/>
    <n v="172.31059999999999"/>
    <n v="3.5"/>
  </r>
  <r>
    <x v="1"/>
    <n v="4908"/>
    <s v="FDK33"/>
    <x v="6"/>
    <x v="7"/>
    <s v="OUT027"/>
    <x v="1"/>
    <x v="0"/>
    <x v="3"/>
    <n v="1.1180842999999999E-2"/>
    <n v="0"/>
    <n v="213.45599999999999"/>
    <n v="3.5"/>
  </r>
  <r>
    <x v="1"/>
    <n v="4909"/>
    <s v="DRG01"/>
    <x v="4"/>
    <x v="7"/>
    <s v="OUT027"/>
    <x v="1"/>
    <x v="0"/>
    <x v="3"/>
    <n v="4.4660955000000002E-2"/>
    <n v="0"/>
    <n v="74.766999999999996"/>
    <n v="3.5"/>
  </r>
  <r>
    <x v="1"/>
    <n v="4910"/>
    <s v="DRH01"/>
    <x v="4"/>
    <x v="7"/>
    <s v="OUT027"/>
    <x v="1"/>
    <x v="0"/>
    <x v="3"/>
    <n v="9.7429924000000001E-2"/>
    <n v="0"/>
    <n v="172.87379999999999"/>
    <n v="3.5"/>
  </r>
  <r>
    <x v="0"/>
    <n v="4911"/>
    <s v="FDW60"/>
    <x v="13"/>
    <x v="7"/>
    <s v="OUT027"/>
    <x v="1"/>
    <x v="0"/>
    <x v="3"/>
    <n v="1.6979325999999999E-2"/>
    <n v="0"/>
    <n v="177.03700000000001"/>
    <n v="3.5"/>
  </r>
  <r>
    <x v="0"/>
    <n v="4912"/>
    <s v="FDZ50"/>
    <x v="11"/>
    <x v="7"/>
    <s v="OUT027"/>
    <x v="1"/>
    <x v="0"/>
    <x v="3"/>
    <n v="0"/>
    <n v="0"/>
    <n v="184.26079999999999"/>
    <n v="3.5"/>
  </r>
  <r>
    <x v="0"/>
    <n v="4913"/>
    <s v="FDA52"/>
    <x v="2"/>
    <x v="7"/>
    <s v="OUT027"/>
    <x v="1"/>
    <x v="0"/>
    <x v="3"/>
    <n v="0.12780038799999999"/>
    <n v="0"/>
    <n v="177.03700000000001"/>
    <n v="3.5"/>
  </r>
  <r>
    <x v="0"/>
    <n v="4914"/>
    <s v="FDG10"/>
    <x v="6"/>
    <x v="7"/>
    <s v="OUT027"/>
    <x v="1"/>
    <x v="0"/>
    <x v="3"/>
    <n v="1.0886323999999999E-2"/>
    <n v="0"/>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n v="0"/>
    <n v="54.229799999999997"/>
    <n v="3.4"/>
  </r>
  <r>
    <x v="1"/>
    <n v="4933"/>
    <s v="FDO57"/>
    <x v="6"/>
    <x v="7"/>
    <s v="OUT019"/>
    <x v="0"/>
    <x v="1"/>
    <x v="2"/>
    <n v="0.19033746000000001"/>
    <n v="0"/>
    <n v="159.45779999999999"/>
    <n v="3.4"/>
  </r>
  <r>
    <x v="0"/>
    <n v="4934"/>
    <s v="FDU45"/>
    <x v="6"/>
    <x v="7"/>
    <s v="OUT019"/>
    <x v="0"/>
    <x v="1"/>
    <x v="2"/>
    <n v="6.216667E-2"/>
    <n v="0"/>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n v="0"/>
    <n v="100.30159999999999"/>
    <n v="3.4"/>
  </r>
  <r>
    <x v="1"/>
    <n v="4995"/>
    <s v="NCI43"/>
    <x v="5"/>
    <x v="7"/>
    <s v="OUT027"/>
    <x v="1"/>
    <x v="0"/>
    <x v="3"/>
    <n v="2.5842950999999999E-2"/>
    <n v="0"/>
    <n v="48.637599999999999"/>
    <n v="3.4"/>
  </r>
  <r>
    <x v="1"/>
    <n v="4996"/>
    <s v="FDG31"/>
    <x v="7"/>
    <x v="7"/>
    <s v="OUT027"/>
    <x v="1"/>
    <x v="0"/>
    <x v="3"/>
    <n v="3.7712875E-2"/>
    <n v="0"/>
    <n v="64.482600000000005"/>
    <n v="3.4"/>
  </r>
  <r>
    <x v="0"/>
    <n v="4997"/>
    <s v="FDW38"/>
    <x v="11"/>
    <x v="7"/>
    <s v="OUT027"/>
    <x v="1"/>
    <x v="0"/>
    <x v="3"/>
    <n v="0.13800843099999999"/>
    <n v="0"/>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n v="0"/>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n v="0"/>
    <n v="112.886"/>
    <n v="3.3"/>
  </r>
  <r>
    <x v="1"/>
    <n v="5009"/>
    <s v="FDS51"/>
    <x v="7"/>
    <x v="0"/>
    <s v="OUT049"/>
    <x v="0"/>
    <x v="0"/>
    <x v="0"/>
    <n v="3.2230526000000002E-2"/>
    <n v="13.35"/>
    <n v="61.419400000000003"/>
    <n v="3.3"/>
  </r>
  <r>
    <x v="1"/>
    <n v="5010"/>
    <s v="FDX59"/>
    <x v="8"/>
    <x v="7"/>
    <s v="OUT027"/>
    <x v="1"/>
    <x v="0"/>
    <x v="3"/>
    <n v="5.1411100000000001E-2"/>
    <n v="0"/>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n v="0"/>
    <n v="190.65039999999999"/>
    <n v="3.3"/>
  </r>
  <r>
    <x v="1"/>
    <n v="5021"/>
    <s v="NCN41"/>
    <x v="1"/>
    <x v="7"/>
    <s v="OUT019"/>
    <x v="0"/>
    <x v="1"/>
    <x v="2"/>
    <n v="9.1411749E-2"/>
    <n v="0"/>
    <n v="121.373"/>
    <n v="3.3"/>
  </r>
  <r>
    <x v="1"/>
    <n v="5022"/>
    <s v="NCX05"/>
    <x v="1"/>
    <x v="7"/>
    <s v="OUT019"/>
    <x v="0"/>
    <x v="1"/>
    <x v="2"/>
    <n v="0.16994319499999999"/>
    <n v="0"/>
    <n v="116.2492"/>
    <n v="3.3"/>
  </r>
  <r>
    <x v="1"/>
    <n v="5023"/>
    <s v="DRJ24"/>
    <x v="4"/>
    <x v="7"/>
    <s v="OUT019"/>
    <x v="0"/>
    <x v="1"/>
    <x v="2"/>
    <n v="0.19842484099999999"/>
    <n v="0"/>
    <n v="185.29239999999999"/>
    <n v="3.3"/>
  </r>
  <r>
    <x v="0"/>
    <n v="5024"/>
    <s v="FDU33"/>
    <x v="6"/>
    <x v="7"/>
    <s v="OUT019"/>
    <x v="0"/>
    <x v="1"/>
    <x v="2"/>
    <n v="0.23585940799999999"/>
    <n v="0"/>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n v="0"/>
    <n v="175.30279999999999"/>
    <n v="3.3"/>
  </r>
  <r>
    <x v="1"/>
    <n v="5112"/>
    <s v="FDZ40"/>
    <x v="2"/>
    <x v="7"/>
    <s v="OUT027"/>
    <x v="1"/>
    <x v="0"/>
    <x v="3"/>
    <n v="3.9988162000000001E-2"/>
    <n v="0"/>
    <n v="55.729799999999997"/>
    <n v="3.3"/>
  </r>
  <r>
    <x v="1"/>
    <n v="5113"/>
    <s v="NCZ17"/>
    <x v="1"/>
    <x v="7"/>
    <s v="OUT027"/>
    <x v="1"/>
    <x v="0"/>
    <x v="3"/>
    <n v="7.9046991999999996E-2"/>
    <n v="0"/>
    <n v="39.8506"/>
    <n v="3.3"/>
  </r>
  <r>
    <x v="1"/>
    <n v="5114"/>
    <s v="NCZ53"/>
    <x v="1"/>
    <x v="7"/>
    <s v="OUT027"/>
    <x v="1"/>
    <x v="0"/>
    <x v="3"/>
    <n v="2.4358634000000001E-2"/>
    <n v="0"/>
    <n v="190.42140000000001"/>
    <n v="3.3"/>
  </r>
  <r>
    <x v="0"/>
    <n v="5115"/>
    <s v="FDI50"/>
    <x v="3"/>
    <x v="7"/>
    <s v="OUT027"/>
    <x v="1"/>
    <x v="0"/>
    <x v="3"/>
    <n v="3.0693308999999998E-2"/>
    <n v="0"/>
    <n v="228.0352"/>
    <n v="3.3"/>
  </r>
  <r>
    <x v="0"/>
    <n v="5116"/>
    <s v="FDZ26"/>
    <x v="11"/>
    <x v="7"/>
    <s v="OUT027"/>
    <x v="1"/>
    <x v="0"/>
    <x v="3"/>
    <n v="0.14331999500000001"/>
    <n v="0"/>
    <n v="237.5222"/>
    <n v="3.3"/>
  </r>
  <r>
    <x v="0"/>
    <n v="5117"/>
    <s v="FDT27"/>
    <x v="7"/>
    <x v="7"/>
    <s v="OUT027"/>
    <x v="1"/>
    <x v="0"/>
    <x v="3"/>
    <n v="6.9250192000000002E-2"/>
    <n v="0"/>
    <n v="232.9616"/>
    <n v="3.3"/>
  </r>
  <r>
    <x v="0"/>
    <n v="5118"/>
    <s v="FDW15"/>
    <x v="7"/>
    <x v="7"/>
    <s v="OUT027"/>
    <x v="1"/>
    <x v="0"/>
    <x v="3"/>
    <n v="5.4846706000000002E-2"/>
    <n v="0"/>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n v="0"/>
    <n v="64.150999999999996"/>
    <n v="3.2"/>
  </r>
  <r>
    <x v="0"/>
    <n v="5133"/>
    <s v="FDA02"/>
    <x v="11"/>
    <x v="7"/>
    <s v="OUT019"/>
    <x v="0"/>
    <x v="1"/>
    <x v="2"/>
    <n v="5.2040538999999997E-2"/>
    <n v="0"/>
    <n v="143.17859999999999"/>
    <n v="3.2"/>
  </r>
  <r>
    <x v="0"/>
    <n v="5134"/>
    <s v="FDS33"/>
    <x v="6"/>
    <x v="7"/>
    <s v="OUT019"/>
    <x v="0"/>
    <x v="1"/>
    <x v="2"/>
    <n v="0.21610753499999999"/>
    <n v="0"/>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n v="0"/>
    <n v="81.361800000000002"/>
    <n v="3.2"/>
  </r>
  <r>
    <x v="1"/>
    <n v="5168"/>
    <s v="FDO23"/>
    <x v="8"/>
    <x v="7"/>
    <s v="OUT027"/>
    <x v="1"/>
    <x v="0"/>
    <x v="3"/>
    <n v="0.14571827000000001"/>
    <n v="0"/>
    <n v="94.343599999999995"/>
    <n v="3.2"/>
  </r>
  <r>
    <x v="1"/>
    <n v="5169"/>
    <s v="FDY55"/>
    <x v="0"/>
    <x v="7"/>
    <s v="OUT027"/>
    <x v="1"/>
    <x v="0"/>
    <x v="3"/>
    <n v="0"/>
    <n v="0"/>
    <n v="255.7988"/>
    <n v="3.2"/>
  </r>
  <r>
    <x v="0"/>
    <n v="5170"/>
    <s v="FDZ23"/>
    <x v="13"/>
    <x v="7"/>
    <s v="OUT027"/>
    <x v="1"/>
    <x v="0"/>
    <x v="3"/>
    <n v="6.7175915000000003E-2"/>
    <n v="0"/>
    <n v="187.124"/>
    <n v="3.2"/>
  </r>
  <r>
    <x v="0"/>
    <n v="5171"/>
    <s v="FDB04"/>
    <x v="11"/>
    <x v="7"/>
    <s v="OUT027"/>
    <x v="1"/>
    <x v="0"/>
    <x v="3"/>
    <n v="6.2920180000000006E-2"/>
    <n v="0"/>
    <n v="88.985600000000005"/>
    <n v="3.2"/>
  </r>
  <r>
    <x v="0"/>
    <n v="5172"/>
    <s v="FDJ55"/>
    <x v="7"/>
    <x v="7"/>
    <s v="OUT027"/>
    <x v="1"/>
    <x v="0"/>
    <x v="3"/>
    <n v="2.3417004000000002E-2"/>
    <n v="0"/>
    <n v="223.84039999999999"/>
    <n v="3.2"/>
  </r>
  <r>
    <x v="0"/>
    <n v="5173"/>
    <s v="FDI10"/>
    <x v="6"/>
    <x v="7"/>
    <s v="OUT027"/>
    <x v="1"/>
    <x v="0"/>
    <x v="3"/>
    <n v="7.8024650000000001E-2"/>
    <n v="0"/>
    <n v="171.44220000000001"/>
    <n v="3.2"/>
  </r>
  <r>
    <x v="0"/>
    <n v="5174"/>
    <s v="FDQ28"/>
    <x v="2"/>
    <x v="3"/>
    <s v="OUT013"/>
    <x v="1"/>
    <x v="2"/>
    <x v="0"/>
    <n v="6.0376776E-2"/>
    <n v="14"/>
    <n v="154.56559999999999"/>
    <n v="3.1"/>
  </r>
  <r>
    <x v="1"/>
    <n v="5175"/>
    <s v="DRH03"/>
    <x v="11"/>
    <x v="7"/>
    <s v="OUT019"/>
    <x v="0"/>
    <x v="1"/>
    <x v="2"/>
    <n v="6.1393095000000002E-2"/>
    <n v="0"/>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n v="0"/>
    <n v="119.3124"/>
    <n v="3.1"/>
  </r>
  <r>
    <x v="1"/>
    <n v="5190"/>
    <s v="FDZ33"/>
    <x v="6"/>
    <x v="7"/>
    <s v="OUT019"/>
    <x v="0"/>
    <x v="1"/>
    <x v="2"/>
    <n v="0.18803837200000001"/>
    <n v="0"/>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n v="0"/>
    <n v="98.141000000000005"/>
    <n v="3.1"/>
  </r>
  <r>
    <x v="1"/>
    <n v="5218"/>
    <s v="FDL10"/>
    <x v="6"/>
    <x v="7"/>
    <s v="OUT027"/>
    <x v="1"/>
    <x v="0"/>
    <x v="3"/>
    <n v="3.9300964000000001E-2"/>
    <n v="0"/>
    <n v="99.504199999999997"/>
    <n v="3.1"/>
  </r>
  <r>
    <x v="0"/>
    <n v="5219"/>
    <s v="FDZ25"/>
    <x v="3"/>
    <x v="7"/>
    <s v="OUT027"/>
    <x v="1"/>
    <x v="0"/>
    <x v="3"/>
    <n v="2.748331E-2"/>
    <n v="0"/>
    <n v="169.37899999999999"/>
    <n v="3.1"/>
  </r>
  <r>
    <x v="0"/>
    <n v="5220"/>
    <s v="FDS32"/>
    <x v="0"/>
    <x v="7"/>
    <s v="OUT027"/>
    <x v="1"/>
    <x v="0"/>
    <x v="3"/>
    <n v="2.9510313E-2"/>
    <n v="0"/>
    <n v="141.9838"/>
    <n v="3.1"/>
  </r>
  <r>
    <x v="0"/>
    <n v="5221"/>
    <s v="FDR15"/>
    <x v="7"/>
    <x v="7"/>
    <s v="OUT027"/>
    <x v="1"/>
    <x v="0"/>
    <x v="3"/>
    <n v="3.3276066E-2"/>
    <n v="0"/>
    <n v="153.8314"/>
    <n v="3.1"/>
  </r>
  <r>
    <x v="0"/>
    <n v="5222"/>
    <s v="FDW22"/>
    <x v="6"/>
    <x v="7"/>
    <s v="OUT027"/>
    <x v="1"/>
    <x v="0"/>
    <x v="3"/>
    <n v="3.0143704E-2"/>
    <n v="0"/>
    <n v="222.01140000000001"/>
    <n v="3.1"/>
  </r>
  <r>
    <x v="0"/>
    <n v="5223"/>
    <s v="FDS02"/>
    <x v="11"/>
    <x v="7"/>
    <s v="OUT019"/>
    <x v="0"/>
    <x v="1"/>
    <x v="2"/>
    <n v="0.25539489599999998"/>
    <n v="0"/>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n v="0"/>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n v="0"/>
    <n v="74.035399999999996"/>
    <n v="3"/>
  </r>
  <r>
    <x v="1"/>
    <n v="5232"/>
    <s v="FDU52"/>
    <x v="2"/>
    <x v="4"/>
    <s v="OUT045"/>
    <x v="2"/>
    <x v="0"/>
    <x v="0"/>
    <n v="6.3900189999999996E-2"/>
    <n v="7.56"/>
    <n v="157.26300000000001"/>
    <n v="3"/>
  </r>
  <r>
    <x v="1"/>
    <n v="5233"/>
    <s v="FDZ22"/>
    <x v="6"/>
    <x v="7"/>
    <s v="OUT027"/>
    <x v="1"/>
    <x v="0"/>
    <x v="3"/>
    <n v="4.5050673999999999E-2"/>
    <n v="0"/>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n v="0"/>
    <n v="163.12360000000001"/>
    <n v="3"/>
  </r>
  <r>
    <x v="1"/>
    <n v="5241"/>
    <s v="FDB34"/>
    <x v="6"/>
    <x v="1"/>
    <s v="OUT018"/>
    <x v="1"/>
    <x v="0"/>
    <x v="1"/>
    <n v="2.6718209999999999E-2"/>
    <n v="15.25"/>
    <n v="85.219800000000006"/>
    <n v="3"/>
  </r>
  <r>
    <x v="1"/>
    <n v="5242"/>
    <s v="FDA45"/>
    <x v="6"/>
    <x v="7"/>
    <s v="OUT027"/>
    <x v="1"/>
    <x v="0"/>
    <x v="3"/>
    <n v="0.154627247"/>
    <n v="0"/>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n v="0"/>
    <n v="125.4362"/>
    <n v="3"/>
  </r>
  <r>
    <x v="1"/>
    <n v="5266"/>
    <s v="FDN13"/>
    <x v="12"/>
    <x v="7"/>
    <s v="OUT019"/>
    <x v="0"/>
    <x v="1"/>
    <x v="2"/>
    <n v="0.266234421"/>
    <n v="0"/>
    <n v="98.535799999999995"/>
    <n v="3"/>
  </r>
  <r>
    <x v="1"/>
    <n v="5267"/>
    <s v="FDQ13"/>
    <x v="3"/>
    <x v="7"/>
    <s v="OUT019"/>
    <x v="0"/>
    <x v="1"/>
    <x v="2"/>
    <n v="1.8632082000000001E-2"/>
    <n v="0"/>
    <n v="82.990799999999993"/>
    <n v="3"/>
  </r>
  <r>
    <x v="1"/>
    <n v="5268"/>
    <s v="FDW13"/>
    <x v="3"/>
    <x v="7"/>
    <s v="OUT019"/>
    <x v="0"/>
    <x v="1"/>
    <x v="2"/>
    <n v="0.17138350599999999"/>
    <n v="0"/>
    <n v="50.532400000000003"/>
    <n v="3"/>
  </r>
  <r>
    <x v="1"/>
    <n v="5269"/>
    <s v="FDC04"/>
    <x v="11"/>
    <x v="7"/>
    <s v="OUT019"/>
    <x v="0"/>
    <x v="1"/>
    <x v="2"/>
    <n v="7.8764058999999997E-2"/>
    <n v="0"/>
    <n v="241.3854"/>
    <n v="3"/>
  </r>
  <r>
    <x v="1"/>
    <n v="5270"/>
    <s v="FDE45"/>
    <x v="0"/>
    <x v="7"/>
    <s v="OUT019"/>
    <x v="0"/>
    <x v="1"/>
    <x v="2"/>
    <n v="7.0660449E-2"/>
    <n v="0"/>
    <n v="180.40020000000001"/>
    <n v="3"/>
  </r>
  <r>
    <x v="0"/>
    <n v="5271"/>
    <s v="FDB41"/>
    <x v="2"/>
    <x v="7"/>
    <s v="OUT019"/>
    <x v="0"/>
    <x v="1"/>
    <x v="2"/>
    <n v="0.17038272600000001"/>
    <n v="0"/>
    <n v="45.271799999999999"/>
    <n v="3"/>
  </r>
  <r>
    <x v="0"/>
    <n v="5272"/>
    <s v="FDZ16"/>
    <x v="2"/>
    <x v="7"/>
    <s v="OUT019"/>
    <x v="0"/>
    <x v="1"/>
    <x v="2"/>
    <n v="0.27988694800000002"/>
    <n v="0"/>
    <n v="193.14779999999999"/>
    <n v="3"/>
  </r>
  <r>
    <x v="1"/>
    <n v="5273"/>
    <s v="DRH39"/>
    <x v="11"/>
    <x v="7"/>
    <s v="OUT019"/>
    <x v="0"/>
    <x v="1"/>
    <x v="2"/>
    <n v="0"/>
    <n v="0"/>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n v="0"/>
    <n v="154.69980000000001"/>
    <n v="3"/>
  </r>
  <r>
    <x v="1"/>
    <n v="5394"/>
    <s v="FDY59"/>
    <x v="13"/>
    <x v="7"/>
    <s v="OUT027"/>
    <x v="1"/>
    <x v="0"/>
    <x v="3"/>
    <n v="3.1251369000000001E-2"/>
    <n v="0"/>
    <n v="93.346199999999996"/>
    <n v="3"/>
  </r>
  <r>
    <x v="1"/>
    <n v="5395"/>
    <s v="FDR35"/>
    <x v="8"/>
    <x v="7"/>
    <s v="OUT027"/>
    <x v="1"/>
    <x v="0"/>
    <x v="3"/>
    <n v="2.0597493000000001E-2"/>
    <n v="0"/>
    <n v="200.07419999999999"/>
    <n v="3"/>
  </r>
  <r>
    <x v="1"/>
    <n v="5396"/>
    <s v="FDD50"/>
    <x v="3"/>
    <x v="7"/>
    <s v="OUT027"/>
    <x v="1"/>
    <x v="0"/>
    <x v="3"/>
    <n v="0.14095631"/>
    <n v="0"/>
    <n v="167.7132"/>
    <n v="3"/>
  </r>
  <r>
    <x v="1"/>
    <n v="5397"/>
    <s v="FDZ38"/>
    <x v="11"/>
    <x v="7"/>
    <s v="OUT027"/>
    <x v="1"/>
    <x v="0"/>
    <x v="3"/>
    <n v="7.9622730000000006E-3"/>
    <n v="0"/>
    <n v="174.04220000000001"/>
    <n v="3"/>
  </r>
  <r>
    <x v="1"/>
    <n v="5398"/>
    <s v="FDB44"/>
    <x v="0"/>
    <x v="7"/>
    <s v="OUT027"/>
    <x v="1"/>
    <x v="0"/>
    <x v="3"/>
    <n v="1.6876708000000001E-2"/>
    <n v="0"/>
    <n v="210.05860000000001"/>
    <n v="3"/>
  </r>
  <r>
    <x v="1"/>
    <n v="5399"/>
    <s v="FDV55"/>
    <x v="0"/>
    <x v="7"/>
    <s v="OUT027"/>
    <x v="1"/>
    <x v="0"/>
    <x v="3"/>
    <n v="5.4806734000000003E-2"/>
    <n v="0"/>
    <n v="145.14439999999999"/>
    <n v="3"/>
  </r>
  <r>
    <x v="1"/>
    <n v="5400"/>
    <s v="DRN59"/>
    <x v="9"/>
    <x v="7"/>
    <s v="OUT027"/>
    <x v="1"/>
    <x v="0"/>
    <x v="3"/>
    <n v="6.3831013000000006E-2"/>
    <n v="0"/>
    <n v="46.206000000000003"/>
    <n v="3"/>
  </r>
  <r>
    <x v="1"/>
    <n v="5401"/>
    <s v="NCD30"/>
    <x v="5"/>
    <x v="7"/>
    <s v="OUT027"/>
    <x v="1"/>
    <x v="0"/>
    <x v="3"/>
    <n v="0"/>
    <n v="0"/>
    <n v="98.172600000000003"/>
    <n v="3"/>
  </r>
  <r>
    <x v="1"/>
    <n v="5402"/>
    <s v="NCG30"/>
    <x v="5"/>
    <x v="7"/>
    <s v="OUT027"/>
    <x v="1"/>
    <x v="0"/>
    <x v="3"/>
    <n v="0.111777297"/>
    <n v="0"/>
    <n v="124.6046"/>
    <n v="3"/>
  </r>
  <r>
    <x v="1"/>
    <n v="5403"/>
    <s v="NCP02"/>
    <x v="5"/>
    <x v="7"/>
    <s v="OUT027"/>
    <x v="1"/>
    <x v="0"/>
    <x v="3"/>
    <n v="4.4591774000000001E-2"/>
    <n v="0"/>
    <n v="59.656199999999998"/>
    <n v="3"/>
  </r>
  <r>
    <x v="1"/>
    <n v="5404"/>
    <s v="FDP27"/>
    <x v="7"/>
    <x v="7"/>
    <s v="OUT027"/>
    <x v="1"/>
    <x v="0"/>
    <x v="3"/>
    <n v="0.118872194"/>
    <n v="0"/>
    <n v="188.35300000000001"/>
    <n v="3"/>
  </r>
  <r>
    <x v="1"/>
    <n v="5405"/>
    <s v="FDK34"/>
    <x v="6"/>
    <x v="7"/>
    <s v="OUT027"/>
    <x v="1"/>
    <x v="0"/>
    <x v="3"/>
    <n v="3.8340116E-2"/>
    <n v="0"/>
    <n v="240.15639999999999"/>
    <n v="3"/>
  </r>
  <r>
    <x v="1"/>
    <n v="5406"/>
    <s v="FDO58"/>
    <x v="6"/>
    <x v="7"/>
    <s v="OUT027"/>
    <x v="1"/>
    <x v="0"/>
    <x v="3"/>
    <n v="3.9385518000000001E-2"/>
    <n v="0"/>
    <n v="164.8526"/>
    <n v="3"/>
  </r>
  <r>
    <x v="1"/>
    <n v="5407"/>
    <s v="FDX45"/>
    <x v="6"/>
    <x v="7"/>
    <s v="OUT027"/>
    <x v="1"/>
    <x v="0"/>
    <x v="3"/>
    <n v="0.104348025"/>
    <n v="0"/>
    <n v="156.26300000000001"/>
    <n v="3"/>
  </r>
  <r>
    <x v="1"/>
    <n v="5408"/>
    <s v="DRN36"/>
    <x v="4"/>
    <x v="7"/>
    <s v="OUT027"/>
    <x v="1"/>
    <x v="0"/>
    <x v="3"/>
    <n v="4.9934854000000001E-2"/>
    <n v="0"/>
    <n v="95.075199999999995"/>
    <n v="3"/>
  </r>
  <r>
    <x v="0"/>
    <n v="5409"/>
    <s v="FDP59"/>
    <x v="8"/>
    <x v="7"/>
    <s v="OUT027"/>
    <x v="1"/>
    <x v="0"/>
    <x v="3"/>
    <n v="5.6192275999999999E-2"/>
    <n v="0"/>
    <n v="103.1648"/>
    <n v="3"/>
  </r>
  <r>
    <x v="0"/>
    <n v="5410"/>
    <s v="FDQ26"/>
    <x v="11"/>
    <x v="7"/>
    <s v="OUT027"/>
    <x v="1"/>
    <x v="0"/>
    <x v="3"/>
    <n v="6.7543726999999998E-2"/>
    <n v="0"/>
    <n v="57.2562"/>
    <n v="3"/>
  </r>
  <r>
    <x v="0"/>
    <n v="5411"/>
    <s v="FDP31"/>
    <x v="0"/>
    <x v="7"/>
    <s v="OUT027"/>
    <x v="1"/>
    <x v="0"/>
    <x v="3"/>
    <n v="0.16072286299999999"/>
    <n v="0"/>
    <n v="65.716800000000006"/>
    <n v="3"/>
  </r>
  <r>
    <x v="0"/>
    <n v="5412"/>
    <s v="FDU19"/>
    <x v="0"/>
    <x v="7"/>
    <s v="OUT027"/>
    <x v="1"/>
    <x v="0"/>
    <x v="3"/>
    <n v="4.6544983999999998E-2"/>
    <n v="0"/>
    <n v="172.04220000000001"/>
    <n v="3"/>
  </r>
  <r>
    <x v="0"/>
    <n v="5413"/>
    <s v="FDB58"/>
    <x v="6"/>
    <x v="7"/>
    <s v="OUT027"/>
    <x v="1"/>
    <x v="0"/>
    <x v="3"/>
    <n v="1.3431109E-2"/>
    <n v="0"/>
    <n v="143.71539999999999"/>
    <n v="3"/>
  </r>
  <r>
    <x v="0"/>
    <n v="5414"/>
    <s v="FDK10"/>
    <x v="6"/>
    <x v="7"/>
    <s v="OUT027"/>
    <x v="1"/>
    <x v="0"/>
    <x v="3"/>
    <n v="4.0163419999999998E-2"/>
    <n v="0"/>
    <n v="181.166"/>
    <n v="3"/>
  </r>
  <r>
    <x v="1"/>
    <n v="5415"/>
    <s v="DRL11"/>
    <x v="9"/>
    <x v="7"/>
    <s v="OUT027"/>
    <x v="1"/>
    <x v="0"/>
    <x v="3"/>
    <n v="4.7785630000000003E-2"/>
    <n v="0"/>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n v="0"/>
    <n v="266.58839999999998"/>
    <n v="2.9"/>
  </r>
  <r>
    <x v="1"/>
    <n v="5421"/>
    <s v="DRF37"/>
    <x v="4"/>
    <x v="7"/>
    <s v="OUT019"/>
    <x v="0"/>
    <x v="1"/>
    <x v="2"/>
    <n v="0"/>
    <n v="0"/>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n v="0"/>
    <n v="93.809399999999997"/>
    <n v="2.9"/>
  </r>
  <r>
    <x v="1"/>
    <n v="5439"/>
    <s v="FDI46"/>
    <x v="6"/>
    <x v="7"/>
    <s v="OUT027"/>
    <x v="1"/>
    <x v="0"/>
    <x v="3"/>
    <n v="7.3985248000000003E-2"/>
    <n v="0"/>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n v="0"/>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n v="0"/>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n v="0"/>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n v="0"/>
    <n v="230.80099999999999"/>
    <n v="2.8"/>
  </r>
  <r>
    <x v="1"/>
    <n v="5482"/>
    <s v="DRK23"/>
    <x v="9"/>
    <x v="7"/>
    <s v="OUT027"/>
    <x v="1"/>
    <x v="0"/>
    <x v="3"/>
    <n v="7.1628097000000002E-2"/>
    <n v="0"/>
    <n v="251.904"/>
    <n v="2.8"/>
  </r>
  <r>
    <x v="1"/>
    <n v="5483"/>
    <s v="NCO53"/>
    <x v="1"/>
    <x v="7"/>
    <s v="OUT027"/>
    <x v="1"/>
    <x v="0"/>
    <x v="3"/>
    <n v="0.174336148"/>
    <n v="0"/>
    <n v="184.0608"/>
    <n v="2.8"/>
  </r>
  <r>
    <x v="1"/>
    <n v="5484"/>
    <s v="NCZ54"/>
    <x v="5"/>
    <x v="7"/>
    <s v="OUT027"/>
    <x v="1"/>
    <x v="0"/>
    <x v="3"/>
    <n v="8.2955718999999997E-2"/>
    <n v="0"/>
    <n v="164.05520000000001"/>
    <n v="2.8"/>
  </r>
  <r>
    <x v="0"/>
    <n v="5485"/>
    <s v="FDQ11"/>
    <x v="8"/>
    <x v="7"/>
    <s v="OUT027"/>
    <x v="1"/>
    <x v="0"/>
    <x v="3"/>
    <n v="6.7373081000000001E-2"/>
    <n v="0"/>
    <n v="258.89879999999999"/>
    <n v="2.8"/>
  </r>
  <r>
    <x v="0"/>
    <n v="5486"/>
    <s v="FDN50"/>
    <x v="3"/>
    <x v="7"/>
    <s v="OUT027"/>
    <x v="1"/>
    <x v="0"/>
    <x v="3"/>
    <n v="2.6391403000000001E-2"/>
    <n v="0"/>
    <n v="92.811999999999998"/>
    <n v="2.8"/>
  </r>
  <r>
    <x v="0"/>
    <n v="5487"/>
    <s v="FDE33"/>
    <x v="0"/>
    <x v="7"/>
    <s v="OUT027"/>
    <x v="1"/>
    <x v="0"/>
    <x v="3"/>
    <n v="4.9395241999999999E-2"/>
    <n v="0"/>
    <n v="80.364400000000003"/>
    <n v="2.8"/>
  </r>
  <r>
    <x v="0"/>
    <n v="5488"/>
    <s v="FDN33"/>
    <x v="6"/>
    <x v="7"/>
    <s v="OUT027"/>
    <x v="1"/>
    <x v="0"/>
    <x v="3"/>
    <n v="0.12251957099999999"/>
    <n v="0"/>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n v="0"/>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n v="0"/>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n v="0"/>
    <n v="154.53399999999999"/>
    <n v="2.5"/>
  </r>
  <r>
    <x v="0"/>
    <n v="5538"/>
    <s v="FDI07"/>
    <x v="7"/>
    <x v="7"/>
    <s v="OUT019"/>
    <x v="0"/>
    <x v="1"/>
    <x v="2"/>
    <n v="5.9110912000000002E-2"/>
    <n v="0"/>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n v="0"/>
    <n v="52.732399999999998"/>
    <n v="2.5"/>
  </r>
  <r>
    <x v="1"/>
    <n v="5570"/>
    <s v="FDH16"/>
    <x v="2"/>
    <x v="7"/>
    <s v="OUT027"/>
    <x v="1"/>
    <x v="0"/>
    <x v="3"/>
    <n v="5.2300843999999999E-2"/>
    <n v="0"/>
    <n v="88.283000000000001"/>
    <n v="2.5"/>
  </r>
  <r>
    <x v="1"/>
    <n v="5571"/>
    <s v="FDY10"/>
    <x v="6"/>
    <x v="7"/>
    <s v="OUT027"/>
    <x v="1"/>
    <x v="0"/>
    <x v="3"/>
    <n v="4.8830263999999998E-2"/>
    <n v="0"/>
    <n v="113.1176"/>
    <n v="2.5"/>
  </r>
  <r>
    <x v="1"/>
    <n v="5572"/>
    <s v="NCY18"/>
    <x v="5"/>
    <x v="3"/>
    <s v="OUT013"/>
    <x v="1"/>
    <x v="2"/>
    <x v="0"/>
    <n v="3.1125709000000001E-2"/>
    <n v="7.2850000000000001"/>
    <n v="174.30539999999999"/>
    <n v="2.4"/>
  </r>
  <r>
    <x v="1"/>
    <n v="5573"/>
    <s v="FDA50"/>
    <x v="11"/>
    <x v="7"/>
    <s v="OUT019"/>
    <x v="0"/>
    <x v="1"/>
    <x v="2"/>
    <n v="0.15263241299999999"/>
    <n v="0"/>
    <n v="98.441000000000003"/>
    <n v="2.4"/>
  </r>
  <r>
    <x v="0"/>
    <n v="5574"/>
    <s v="FDY15"/>
    <x v="11"/>
    <x v="7"/>
    <s v="OUT019"/>
    <x v="0"/>
    <x v="1"/>
    <x v="2"/>
    <n v="0.29909785900000002"/>
    <n v="0"/>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n v="0"/>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n v="0"/>
    <n v="111.19119999999999"/>
    <n v="2.2999999999999998"/>
  </r>
  <r>
    <x v="1"/>
    <n v="5586"/>
    <s v="FDK15"/>
    <x v="7"/>
    <x v="7"/>
    <s v="OUT019"/>
    <x v="0"/>
    <x v="1"/>
    <x v="2"/>
    <n v="0.17230990299999999"/>
    <n v="0"/>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n v="0"/>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n v="0"/>
    <n v="188.18719999999999"/>
    <n v="2.2999999999999998"/>
  </r>
  <r>
    <x v="1"/>
    <n v="5605"/>
    <s v="NCN53"/>
    <x v="1"/>
    <x v="7"/>
    <s v="OUT027"/>
    <x v="1"/>
    <x v="0"/>
    <x v="3"/>
    <n v="3.0208465E-2"/>
    <n v="0"/>
    <n v="35.487400000000001"/>
    <n v="2.2999999999999998"/>
  </r>
  <r>
    <x v="1"/>
    <n v="5606"/>
    <s v="NCV05"/>
    <x v="1"/>
    <x v="7"/>
    <s v="OUT027"/>
    <x v="1"/>
    <x v="0"/>
    <x v="3"/>
    <n v="3.0062223999999999E-2"/>
    <n v="0"/>
    <n v="154.3656"/>
    <n v="2.2999999999999998"/>
  </r>
  <r>
    <x v="0"/>
    <n v="5607"/>
    <s v="FDJ44"/>
    <x v="0"/>
    <x v="7"/>
    <s v="OUT027"/>
    <x v="1"/>
    <x v="0"/>
    <x v="3"/>
    <n v="0.105812357"/>
    <n v="0"/>
    <n v="175.03960000000001"/>
    <n v="2.2999999999999998"/>
  </r>
  <r>
    <x v="0"/>
    <n v="5608"/>
    <s v="FDO10"/>
    <x v="6"/>
    <x v="7"/>
    <s v="OUT027"/>
    <x v="1"/>
    <x v="0"/>
    <x v="3"/>
    <n v="1.268995E-2"/>
    <n v="0"/>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n v="0"/>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n v="0"/>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n v="0"/>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n v="0"/>
    <n v="219.7456"/>
    <n v="2"/>
  </r>
  <r>
    <x v="0"/>
    <n v="5639"/>
    <s v="FDX36"/>
    <x v="13"/>
    <x v="7"/>
    <s v="OUT019"/>
    <x v="0"/>
    <x v="1"/>
    <x v="2"/>
    <n v="0.22460739900000001"/>
    <n v="0"/>
    <n v="223.1404"/>
    <n v="2"/>
  </r>
  <r>
    <x v="0"/>
    <n v="5640"/>
    <s v="FDN03"/>
    <x v="7"/>
    <x v="7"/>
    <s v="OUT019"/>
    <x v="0"/>
    <x v="1"/>
    <x v="2"/>
    <n v="2.6420580999999999E-2"/>
    <n v="0"/>
    <n v="250.9408"/>
    <n v="2"/>
  </r>
  <r>
    <x v="0"/>
    <n v="5641"/>
    <s v="FDG10"/>
    <x v="6"/>
    <x v="7"/>
    <s v="OUT019"/>
    <x v="0"/>
    <x v="1"/>
    <x v="2"/>
    <n v="1.9153298999999999E-2"/>
    <n v="0"/>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n v="0"/>
    <n v="122.4098"/>
    <n v="2"/>
  </r>
  <r>
    <x v="1"/>
    <n v="5692"/>
    <s v="FDR04"/>
    <x v="2"/>
    <x v="7"/>
    <s v="OUT027"/>
    <x v="1"/>
    <x v="0"/>
    <x v="3"/>
    <n v="2.2457694E-2"/>
    <n v="0"/>
    <n v="98.606800000000007"/>
    <n v="2"/>
  </r>
  <r>
    <x v="1"/>
    <n v="5693"/>
    <s v="FDO32"/>
    <x v="0"/>
    <x v="7"/>
    <s v="OUT027"/>
    <x v="1"/>
    <x v="0"/>
    <x v="3"/>
    <n v="0.11995987299999999"/>
    <n v="0"/>
    <n v="45.506"/>
    <n v="2"/>
  </r>
  <r>
    <x v="1"/>
    <n v="5694"/>
    <s v="FDK15"/>
    <x v="7"/>
    <x v="7"/>
    <s v="OUT027"/>
    <x v="1"/>
    <x v="0"/>
    <x v="3"/>
    <n v="9.7937252000000002E-2"/>
    <n v="0"/>
    <n v="98.904200000000003"/>
    <n v="2"/>
  </r>
  <r>
    <x v="1"/>
    <n v="5695"/>
    <s v="FDW34"/>
    <x v="6"/>
    <x v="7"/>
    <s v="OUT027"/>
    <x v="1"/>
    <x v="0"/>
    <x v="3"/>
    <n v="3.5406842000000001E-2"/>
    <n v="0"/>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n v="0"/>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n v="0"/>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n v="0"/>
    <n v="96.641000000000005"/>
    <n v="1.5"/>
  </r>
  <r>
    <x v="0"/>
    <n v="5721"/>
    <s v="FDL52"/>
    <x v="2"/>
    <x v="7"/>
    <s v="OUT027"/>
    <x v="1"/>
    <x v="0"/>
    <x v="3"/>
    <n v="4.586701E-2"/>
    <n v="0"/>
    <n v="37.950600000000001"/>
    <n v="1.5"/>
  </r>
  <r>
    <x v="1"/>
    <n v="5722"/>
    <s v="DRF23"/>
    <x v="9"/>
    <x v="7"/>
    <s v="OUT027"/>
    <x v="1"/>
    <x v="0"/>
    <x v="3"/>
    <n v="0.122058364"/>
    <n v="0"/>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n v="0"/>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n v="0"/>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n v="0"/>
    <n v="118.1808"/>
    <n v="1"/>
  </r>
  <r>
    <x v="0"/>
    <n v="5749"/>
    <s v="FDH60"/>
    <x v="13"/>
    <x v="7"/>
    <s v="OUT019"/>
    <x v="0"/>
    <x v="1"/>
    <x v="2"/>
    <n v="0.14136011800000001"/>
    <n v="0"/>
    <n v="197.31100000000001"/>
    <n v="1"/>
  </r>
  <r>
    <x v="0"/>
    <n v="5750"/>
    <s v="FDQ49"/>
    <x v="12"/>
    <x v="7"/>
    <s v="OUT019"/>
    <x v="0"/>
    <x v="1"/>
    <x v="2"/>
    <n v="6.8717719999999996E-2"/>
    <n v="0"/>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n v="0"/>
    <n v="109.3228"/>
    <n v="1"/>
  </r>
  <r>
    <x v="1"/>
    <n v="5829"/>
    <s v="FDT48"/>
    <x v="13"/>
    <x v="7"/>
    <s v="OUT027"/>
    <x v="1"/>
    <x v="0"/>
    <x v="3"/>
    <n v="0"/>
    <n v="0"/>
    <n v="196.50839999999999"/>
    <n v="1"/>
  </r>
  <r>
    <x v="1"/>
    <n v="5830"/>
    <s v="FDU32"/>
    <x v="0"/>
    <x v="7"/>
    <s v="OUT027"/>
    <x v="1"/>
    <x v="0"/>
    <x v="3"/>
    <n v="2.5841875E-2"/>
    <n v="0"/>
    <n v="120.7414"/>
    <n v="1"/>
  </r>
  <r>
    <x v="1"/>
    <n v="5831"/>
    <s v="DRM23"/>
    <x v="9"/>
    <x v="7"/>
    <s v="OUT027"/>
    <x v="1"/>
    <x v="0"/>
    <x v="3"/>
    <n v="0"/>
    <n v="0"/>
    <n v="171.7422"/>
    <n v="1"/>
  </r>
  <r>
    <x v="1"/>
    <n v="5832"/>
    <s v="NCY05"/>
    <x v="1"/>
    <x v="7"/>
    <s v="OUT027"/>
    <x v="1"/>
    <x v="0"/>
    <x v="3"/>
    <n v="5.4723716999999998E-2"/>
    <n v="0"/>
    <n v="36.687399999999997"/>
    <n v="1"/>
  </r>
  <r>
    <x v="1"/>
    <n v="5833"/>
    <s v="NCQ42"/>
    <x v="5"/>
    <x v="7"/>
    <s v="OUT027"/>
    <x v="1"/>
    <x v="0"/>
    <x v="3"/>
    <n v="3.9078046999999998E-2"/>
    <n v="0"/>
    <n v="128.36779999999999"/>
    <n v="1"/>
  </r>
  <r>
    <x v="1"/>
    <n v="5834"/>
    <s v="FDH10"/>
    <x v="6"/>
    <x v="7"/>
    <s v="OUT027"/>
    <x v="1"/>
    <x v="0"/>
    <x v="3"/>
    <n v="4.9066248E-2"/>
    <n v="0"/>
    <n v="192.4478"/>
    <n v="1"/>
  </r>
  <r>
    <x v="1"/>
    <n v="5835"/>
    <s v="FDR21"/>
    <x v="6"/>
    <x v="7"/>
    <s v="OUT027"/>
    <x v="1"/>
    <x v="0"/>
    <x v="3"/>
    <n v="6.6611321000000001E-2"/>
    <n v="0"/>
    <n v="178.23699999999999"/>
    <n v="1"/>
  </r>
  <r>
    <x v="0"/>
    <n v="5836"/>
    <s v="FDR59"/>
    <x v="8"/>
    <x v="7"/>
    <s v="OUT027"/>
    <x v="1"/>
    <x v="0"/>
    <x v="3"/>
    <n v="6.3554289E-2"/>
    <n v="0"/>
    <n v="263.65940000000001"/>
    <n v="1"/>
  </r>
  <r>
    <x v="0"/>
    <n v="5837"/>
    <s v="FDX04"/>
    <x v="2"/>
    <x v="7"/>
    <s v="OUT027"/>
    <x v="1"/>
    <x v="0"/>
    <x v="3"/>
    <n v="4.1370245E-2"/>
    <n v="0"/>
    <n v="46.2376"/>
    <n v="1"/>
  </r>
  <r>
    <x v="0"/>
    <n v="5838"/>
    <s v="FDK20"/>
    <x v="0"/>
    <x v="7"/>
    <s v="OUT027"/>
    <x v="1"/>
    <x v="0"/>
    <x v="3"/>
    <n v="0"/>
    <n v="0"/>
    <n v="120.5072"/>
    <n v="1"/>
  </r>
  <r>
    <x v="0"/>
    <n v="5839"/>
    <s v="FDJ10"/>
    <x v="6"/>
    <x v="7"/>
    <s v="OUT027"/>
    <x v="1"/>
    <x v="0"/>
    <x v="3"/>
    <n v="0.12887653700000001"/>
    <n v="0"/>
    <n v="139.18379999999999"/>
    <n v="1"/>
  </r>
  <r>
    <x v="1"/>
    <n v="5840"/>
    <s v="FDK21"/>
    <x v="6"/>
    <x v="1"/>
    <s v="OUT018"/>
    <x v="1"/>
    <x v="0"/>
    <x v="1"/>
    <n v="1.0053105E-2"/>
    <n v="7.9050000000000002"/>
    <n v="249.04079999999999"/>
    <n v="4"/>
  </r>
  <r>
    <x v="1"/>
    <n v="5841"/>
    <s v="FDI26"/>
    <x v="3"/>
    <x v="7"/>
    <s v="OUT019"/>
    <x v="0"/>
    <x v="1"/>
    <x v="2"/>
    <n v="6.1082177000000001E-2"/>
    <n v="0"/>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n v="0"/>
    <n v="194.61359999999999"/>
    <n v="4"/>
  </r>
  <r>
    <x v="0"/>
    <n v="5849"/>
    <s v="FDR12"/>
    <x v="13"/>
    <x v="7"/>
    <s v="OUT027"/>
    <x v="1"/>
    <x v="0"/>
    <x v="3"/>
    <n v="3.1382043999999998E-2"/>
    <n v="0"/>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n v="0"/>
    <n v="178.53440000000001"/>
    <n v="4"/>
  </r>
  <r>
    <x v="0"/>
    <n v="5857"/>
    <s v="FDA47"/>
    <x v="13"/>
    <x v="3"/>
    <s v="OUT013"/>
    <x v="1"/>
    <x v="2"/>
    <x v="0"/>
    <n v="0.116576702"/>
    <n v="10.5"/>
    <n v="163.12100000000001"/>
    <n v="4"/>
  </r>
  <r>
    <x v="1"/>
    <n v="5858"/>
    <s v="FDX34"/>
    <x v="6"/>
    <x v="7"/>
    <s v="OUT027"/>
    <x v="1"/>
    <x v="0"/>
    <x v="3"/>
    <n v="7.1636936999999998E-2"/>
    <n v="0"/>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n v="0"/>
    <n v="224.44040000000001"/>
    <n v="4"/>
  </r>
  <r>
    <x v="1"/>
    <n v="5868"/>
    <s v="FDH35"/>
    <x v="15"/>
    <x v="7"/>
    <s v="OUT027"/>
    <x v="1"/>
    <x v="0"/>
    <x v="3"/>
    <n v="5.9956875999999999E-2"/>
    <n v="0"/>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n v="0"/>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n v="0"/>
    <n v="42.111199999999997"/>
    <n v="4"/>
  </r>
  <r>
    <x v="0"/>
    <n v="5881"/>
    <s v="FDQ28"/>
    <x v="2"/>
    <x v="7"/>
    <s v="OUT027"/>
    <x v="1"/>
    <x v="0"/>
    <x v="3"/>
    <n v="6.0134440999999997E-2"/>
    <n v="0"/>
    <n v="153.06559999999999"/>
    <n v="4"/>
  </r>
  <r>
    <x v="0"/>
    <n v="5882"/>
    <s v="FDU50"/>
    <x v="11"/>
    <x v="3"/>
    <s v="OUT013"/>
    <x v="1"/>
    <x v="2"/>
    <x v="0"/>
    <n v="7.5107655999999995E-2"/>
    <n v="5.75"/>
    <n v="112.8176"/>
    <n v="4"/>
  </r>
  <r>
    <x v="0"/>
    <n v="5883"/>
    <s v="FDT12"/>
    <x v="13"/>
    <x v="7"/>
    <s v="OUT027"/>
    <x v="1"/>
    <x v="0"/>
    <x v="3"/>
    <n v="4.9381406000000003E-2"/>
    <n v="0"/>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n v="0"/>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n v="0"/>
    <n v="211.95599999999999"/>
    <n v="4"/>
  </r>
  <r>
    <x v="1"/>
    <n v="5898"/>
    <s v="FDS49"/>
    <x v="3"/>
    <x v="8"/>
    <s v="OUT035"/>
    <x v="2"/>
    <x v="1"/>
    <x v="0"/>
    <n v="0"/>
    <n v="9"/>
    <n v="79.764399999999995"/>
    <n v="4"/>
  </r>
  <r>
    <x v="1"/>
    <n v="5899"/>
    <s v="NCX42"/>
    <x v="5"/>
    <x v="7"/>
    <s v="OUT027"/>
    <x v="1"/>
    <x v="0"/>
    <x v="3"/>
    <n v="5.9496439999999996E-3"/>
    <n v="0"/>
    <n v="165.65260000000001"/>
    <n v="4"/>
  </r>
  <r>
    <x v="1"/>
    <n v="5900"/>
    <s v="FDL56"/>
    <x v="0"/>
    <x v="4"/>
    <s v="OUT045"/>
    <x v="2"/>
    <x v="1"/>
    <x v="0"/>
    <n v="0.126035694"/>
    <n v="14.1"/>
    <n v="86.419799999999995"/>
    <n v="4"/>
  </r>
  <r>
    <x v="1"/>
    <n v="5901"/>
    <s v="NCU05"/>
    <x v="1"/>
    <x v="7"/>
    <s v="OUT027"/>
    <x v="1"/>
    <x v="0"/>
    <x v="3"/>
    <n v="5.8451805000000003E-2"/>
    <n v="0"/>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n v="0"/>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n v="0"/>
    <n v="101.0016"/>
    <n v="4"/>
  </r>
  <r>
    <x v="1"/>
    <n v="5919"/>
    <s v="FDJ08"/>
    <x v="0"/>
    <x v="7"/>
    <s v="OUT019"/>
    <x v="0"/>
    <x v="1"/>
    <x v="2"/>
    <n v="0.19377256800000001"/>
    <n v="0"/>
    <n v="190.38460000000001"/>
    <n v="4"/>
  </r>
  <r>
    <x v="1"/>
    <n v="5920"/>
    <s v="DRF49"/>
    <x v="4"/>
    <x v="4"/>
    <s v="OUT045"/>
    <x v="2"/>
    <x v="1"/>
    <x v="0"/>
    <n v="7.1222087000000003E-2"/>
    <n v="7.27"/>
    <n v="113.5518"/>
    <n v="4"/>
  </r>
  <r>
    <x v="0"/>
    <n v="5921"/>
    <s v="FDM25"/>
    <x v="12"/>
    <x v="7"/>
    <s v="OUT027"/>
    <x v="1"/>
    <x v="0"/>
    <x v="3"/>
    <n v="6.0371962000000001E-2"/>
    <n v="0"/>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n v="0"/>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n v="0"/>
    <n v="129.99940000000001"/>
    <n v="4"/>
  </r>
  <r>
    <x v="1"/>
    <n v="5936"/>
    <s v="DRH39"/>
    <x v="11"/>
    <x v="3"/>
    <s v="OUT013"/>
    <x v="1"/>
    <x v="2"/>
    <x v="0"/>
    <n v="9.2613070000000006E-2"/>
    <n v="20.7"/>
    <n v="76.367000000000004"/>
    <n v="4"/>
  </r>
  <r>
    <x v="1"/>
    <n v="5937"/>
    <s v="FDN60"/>
    <x v="13"/>
    <x v="7"/>
    <s v="OUT027"/>
    <x v="1"/>
    <x v="0"/>
    <x v="3"/>
    <n v="9.4697273999999998E-2"/>
    <n v="0"/>
    <n v="158.46039999999999"/>
    <n v="4"/>
  </r>
  <r>
    <x v="0"/>
    <n v="5938"/>
    <s v="FDN58"/>
    <x v="6"/>
    <x v="7"/>
    <s v="OUT027"/>
    <x v="1"/>
    <x v="0"/>
    <x v="3"/>
    <n v="5.6596985000000002E-2"/>
    <n v="0"/>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n v="0"/>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n v="0"/>
    <n v="231.79580000000001"/>
    <n v="4"/>
  </r>
  <r>
    <x v="1"/>
    <n v="5953"/>
    <s v="FDR43"/>
    <x v="0"/>
    <x v="7"/>
    <s v="OUT027"/>
    <x v="1"/>
    <x v="0"/>
    <x v="3"/>
    <n v="0.16070748900000001"/>
    <n v="0"/>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n v="0"/>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n v="0"/>
    <n v="228.93520000000001"/>
    <n v="4"/>
  </r>
  <r>
    <x v="1"/>
    <n v="5961"/>
    <s v="FDF22"/>
    <x v="6"/>
    <x v="0"/>
    <s v="OUT049"/>
    <x v="0"/>
    <x v="0"/>
    <x v="0"/>
    <n v="5.6919037999999998E-2"/>
    <n v="6.8650000000000002"/>
    <n v="212.8218"/>
    <n v="4"/>
  </r>
  <r>
    <x v="1"/>
    <n v="5962"/>
    <s v="DRP35"/>
    <x v="9"/>
    <x v="7"/>
    <s v="OUT027"/>
    <x v="1"/>
    <x v="0"/>
    <x v="3"/>
    <n v="9.0427268000000005E-2"/>
    <n v="0"/>
    <n v="126.2336"/>
    <n v="4"/>
  </r>
  <r>
    <x v="1"/>
    <n v="5963"/>
    <s v="NCB55"/>
    <x v="5"/>
    <x v="2"/>
    <s v="OUT046"/>
    <x v="0"/>
    <x v="1"/>
    <x v="0"/>
    <n v="0.16066302099999999"/>
    <n v="15.7"/>
    <n v="59.456200000000003"/>
    <n v="4"/>
  </r>
  <r>
    <x v="1"/>
    <n v="5964"/>
    <s v="FDW35"/>
    <x v="8"/>
    <x v="7"/>
    <s v="OUT019"/>
    <x v="0"/>
    <x v="1"/>
    <x v="2"/>
    <n v="1.94158E-2"/>
    <n v="0"/>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n v="0"/>
    <n v="155.73140000000001"/>
    <n v="4"/>
  </r>
  <r>
    <x v="1"/>
    <n v="5970"/>
    <s v="NCJ18"/>
    <x v="5"/>
    <x v="0"/>
    <s v="OUT049"/>
    <x v="0"/>
    <x v="0"/>
    <x v="0"/>
    <n v="0.16419682299999999"/>
    <n v="12.35"/>
    <n v="120.5124"/>
    <n v="4"/>
  </r>
  <r>
    <x v="0"/>
    <n v="5971"/>
    <s v="FDS09"/>
    <x v="6"/>
    <x v="7"/>
    <s v="OUT019"/>
    <x v="0"/>
    <x v="1"/>
    <x v="2"/>
    <n v="0.141975462"/>
    <n v="0"/>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n v="0"/>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n v="0"/>
    <n v="184.72659999999999"/>
    <n v="4"/>
  </r>
  <r>
    <x v="1"/>
    <n v="5982"/>
    <s v="DRK59"/>
    <x v="9"/>
    <x v="8"/>
    <s v="OUT035"/>
    <x v="2"/>
    <x v="1"/>
    <x v="0"/>
    <n v="7.5435559999999999E-2"/>
    <n v="8.8949999999999996"/>
    <n v="235.86160000000001"/>
    <n v="4"/>
  </r>
  <r>
    <x v="0"/>
    <n v="5983"/>
    <s v="FDH28"/>
    <x v="2"/>
    <x v="7"/>
    <s v="OUT019"/>
    <x v="0"/>
    <x v="1"/>
    <x v="2"/>
    <n v="0.19265007200000001"/>
    <n v="0"/>
    <n v="37.450600000000001"/>
    <n v="4"/>
  </r>
  <r>
    <x v="0"/>
    <n v="5984"/>
    <s v="FDV57"/>
    <x v="6"/>
    <x v="0"/>
    <s v="OUT049"/>
    <x v="0"/>
    <x v="0"/>
    <x v="0"/>
    <n v="6.5999007999999998E-2"/>
    <n v="15.25"/>
    <n v="177.96600000000001"/>
    <n v="4"/>
  </r>
  <r>
    <x v="0"/>
    <n v="5985"/>
    <s v="FDR56"/>
    <x v="0"/>
    <x v="7"/>
    <s v="OUT027"/>
    <x v="1"/>
    <x v="0"/>
    <x v="3"/>
    <n v="0.100277876"/>
    <n v="0"/>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n v="0"/>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n v="0"/>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n v="0"/>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n v="0"/>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n v="0"/>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n v="0"/>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n v="0"/>
    <n v="174.83699999999999"/>
    <n v="4"/>
  </r>
  <r>
    <x v="1"/>
    <n v="6030"/>
    <s v="DRI37"/>
    <x v="4"/>
    <x v="7"/>
    <s v="OUT027"/>
    <x v="1"/>
    <x v="0"/>
    <x v="3"/>
    <n v="0.107076832"/>
    <n v="0"/>
    <n v="58.790399999999998"/>
    <n v="4"/>
  </r>
  <r>
    <x v="1"/>
    <n v="6031"/>
    <s v="FDL20"/>
    <x v="0"/>
    <x v="4"/>
    <s v="OUT045"/>
    <x v="2"/>
    <x v="0"/>
    <x v="0"/>
    <n v="0.12867498299999999"/>
    <n v="17.100000000000001"/>
    <n v="112.3886"/>
    <n v="4"/>
  </r>
  <r>
    <x v="0"/>
    <n v="6032"/>
    <s v="FDE05"/>
    <x v="2"/>
    <x v="7"/>
    <s v="OUT019"/>
    <x v="0"/>
    <x v="1"/>
    <x v="2"/>
    <n v="0"/>
    <n v="0"/>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n v="0"/>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n v="0"/>
    <n v="197.3768"/>
    <n v="4"/>
  </r>
  <r>
    <x v="1"/>
    <n v="6055"/>
    <s v="NCV54"/>
    <x v="5"/>
    <x v="7"/>
    <s v="OUT027"/>
    <x v="1"/>
    <x v="0"/>
    <x v="3"/>
    <n v="3.2948610000000003E-2"/>
    <n v="0"/>
    <n v="116.8124"/>
    <n v="4"/>
  </r>
  <r>
    <x v="1"/>
    <n v="6056"/>
    <s v="DRH25"/>
    <x v="4"/>
    <x v="7"/>
    <s v="OUT027"/>
    <x v="1"/>
    <x v="0"/>
    <x v="3"/>
    <n v="1.4522363E-2"/>
    <n v="0"/>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n v="0"/>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n v="0"/>
    <n v="146.81020000000001"/>
    <n v="4"/>
  </r>
  <r>
    <x v="0"/>
    <n v="6066"/>
    <s v="FDU10"/>
    <x v="6"/>
    <x v="5"/>
    <s v="OUT017"/>
    <x v="2"/>
    <x v="0"/>
    <x v="0"/>
    <n v="4.5950474999999998E-2"/>
    <n v="10.1"/>
    <n v="38.284799999999997"/>
    <n v="4"/>
  </r>
  <r>
    <x v="0"/>
    <n v="6067"/>
    <s v="FDP13"/>
    <x v="3"/>
    <x v="7"/>
    <s v="OUT027"/>
    <x v="1"/>
    <x v="0"/>
    <x v="3"/>
    <n v="0.133673087"/>
    <n v="0"/>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n v="0"/>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n v="0"/>
    <n v="153.4682"/>
    <n v="4"/>
  </r>
  <r>
    <x v="1"/>
    <n v="6085"/>
    <s v="FDG24"/>
    <x v="13"/>
    <x v="7"/>
    <s v="OUT027"/>
    <x v="1"/>
    <x v="0"/>
    <x v="3"/>
    <n v="1.4560297E-2"/>
    <n v="0"/>
    <n v="81.424999999999997"/>
    <n v="4"/>
  </r>
  <r>
    <x v="1"/>
    <n v="6086"/>
    <s v="FDO04"/>
    <x v="2"/>
    <x v="7"/>
    <s v="OUT027"/>
    <x v="1"/>
    <x v="0"/>
    <x v="3"/>
    <n v="2.6408698000000001E-2"/>
    <n v="0"/>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n v="0"/>
    <n v="85.122399999999999"/>
    <n v="4"/>
  </r>
  <r>
    <x v="0"/>
    <n v="6094"/>
    <s v="FDZ01"/>
    <x v="3"/>
    <x v="7"/>
    <s v="OUT027"/>
    <x v="1"/>
    <x v="0"/>
    <x v="3"/>
    <n v="9.0149779999999999E-3"/>
    <n v="0"/>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n v="0"/>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n v="0"/>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n v="0"/>
    <n v="112.0202"/>
    <n v="4"/>
  </r>
  <r>
    <x v="0"/>
    <n v="6105"/>
    <s v="FDQ31"/>
    <x v="0"/>
    <x v="8"/>
    <s v="OUT035"/>
    <x v="2"/>
    <x v="1"/>
    <x v="0"/>
    <n v="0"/>
    <n v="5.7850000000000001"/>
    <n v="87.185599999999994"/>
    <n v="4"/>
  </r>
  <r>
    <x v="1"/>
    <n v="6106"/>
    <s v="FDK55"/>
    <x v="7"/>
    <x v="7"/>
    <s v="OUT019"/>
    <x v="0"/>
    <x v="1"/>
    <x v="2"/>
    <n v="4.5105407E-2"/>
    <n v="0"/>
    <n v="89.417199999999994"/>
    <n v="4"/>
  </r>
  <r>
    <x v="1"/>
    <n v="6107"/>
    <s v="DRG15"/>
    <x v="11"/>
    <x v="0"/>
    <s v="OUT049"/>
    <x v="0"/>
    <x v="0"/>
    <x v="0"/>
    <n v="7.6855206999999995E-2"/>
    <n v="6.13"/>
    <n v="59.3536"/>
    <n v="4"/>
  </r>
  <r>
    <x v="0"/>
    <n v="6108"/>
    <s v="FDT32"/>
    <x v="0"/>
    <x v="7"/>
    <s v="OUT019"/>
    <x v="0"/>
    <x v="1"/>
    <x v="2"/>
    <n v="0.11491654599999999"/>
    <n v="0"/>
    <n v="188.42140000000001"/>
    <n v="4"/>
  </r>
  <r>
    <x v="1"/>
    <n v="6109"/>
    <s v="FDN02"/>
    <x v="3"/>
    <x v="3"/>
    <s v="OUT013"/>
    <x v="1"/>
    <x v="2"/>
    <x v="0"/>
    <n v="7.3766310000000002E-2"/>
    <n v="16.5"/>
    <n v="208.56379999999999"/>
    <n v="4"/>
  </r>
  <r>
    <x v="0"/>
    <n v="6110"/>
    <s v="FDJ40"/>
    <x v="2"/>
    <x v="7"/>
    <s v="OUT027"/>
    <x v="1"/>
    <x v="0"/>
    <x v="3"/>
    <n v="4.9349121000000003E-2"/>
    <n v="0"/>
    <n v="108.69119999999999"/>
    <n v="4"/>
  </r>
  <r>
    <x v="1"/>
    <n v="6111"/>
    <s v="FDU13"/>
    <x v="3"/>
    <x v="7"/>
    <s v="OUT019"/>
    <x v="0"/>
    <x v="1"/>
    <x v="2"/>
    <n v="0.32839094800000002"/>
    <n v="0"/>
    <n v="146.04179999999999"/>
    <n v="4"/>
  </r>
  <r>
    <x v="0"/>
    <n v="6112"/>
    <s v="FDS27"/>
    <x v="7"/>
    <x v="8"/>
    <s v="OUT035"/>
    <x v="2"/>
    <x v="1"/>
    <x v="0"/>
    <n v="1.2455786999999999E-2"/>
    <n v="10.195"/>
    <n v="197.511"/>
    <n v="4"/>
  </r>
  <r>
    <x v="1"/>
    <n v="6113"/>
    <s v="DRM59"/>
    <x v="9"/>
    <x v="7"/>
    <s v="OUT019"/>
    <x v="0"/>
    <x v="1"/>
    <x v="2"/>
    <n v="6.2892909999999998E-3"/>
    <n v="0"/>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n v="0"/>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n v="0"/>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n v="0"/>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n v="0"/>
    <n v="184.26079999999999"/>
    <n v="4"/>
  </r>
  <r>
    <x v="0"/>
    <n v="6138"/>
    <s v="FDV57"/>
    <x v="6"/>
    <x v="7"/>
    <s v="OUT027"/>
    <x v="1"/>
    <x v="0"/>
    <x v="3"/>
    <n v="6.5577448999999996E-2"/>
    <n v="0"/>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n v="0"/>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n v="0"/>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n v="0"/>
    <n v="105.099"/>
    <n v="4"/>
  </r>
  <r>
    <x v="1"/>
    <n v="6425"/>
    <s v="FDY55"/>
    <x v="0"/>
    <x v="7"/>
    <s v="OUT019"/>
    <x v="0"/>
    <x v="1"/>
    <x v="2"/>
    <n v="0"/>
    <n v="0"/>
    <n v="258.39879999999999"/>
    <n v="4"/>
  </r>
  <r>
    <x v="1"/>
    <n v="6426"/>
    <s v="NCI54"/>
    <x v="5"/>
    <x v="7"/>
    <s v="OUT019"/>
    <x v="0"/>
    <x v="1"/>
    <x v="2"/>
    <n v="5.8827583000000003E-2"/>
    <n v="0"/>
    <n v="110.49120000000001"/>
    <n v="4"/>
  </r>
  <r>
    <x v="1"/>
    <n v="6427"/>
    <s v="NCX30"/>
    <x v="5"/>
    <x v="7"/>
    <s v="OUT019"/>
    <x v="0"/>
    <x v="1"/>
    <x v="2"/>
    <n v="4.6609281000000002E-2"/>
    <n v="0"/>
    <n v="248.67760000000001"/>
    <n v="4"/>
  </r>
  <r>
    <x v="1"/>
    <n v="6428"/>
    <s v="FDQ34"/>
    <x v="6"/>
    <x v="7"/>
    <s v="OUT019"/>
    <x v="0"/>
    <x v="1"/>
    <x v="2"/>
    <n v="0.28406587900000002"/>
    <n v="0"/>
    <n v="105.5622"/>
    <n v="4"/>
  </r>
  <r>
    <x v="1"/>
    <n v="6429"/>
    <s v="DRK49"/>
    <x v="4"/>
    <x v="7"/>
    <s v="OUT019"/>
    <x v="0"/>
    <x v="1"/>
    <x v="2"/>
    <n v="0"/>
    <n v="0"/>
    <n v="40.513800000000003"/>
    <n v="4"/>
  </r>
  <r>
    <x v="1"/>
    <n v="6430"/>
    <s v="FDA36"/>
    <x v="13"/>
    <x v="7"/>
    <s v="OUT019"/>
    <x v="0"/>
    <x v="1"/>
    <x v="2"/>
    <n v="9.9211070000000002E-3"/>
    <n v="0"/>
    <n v="183.69239999999999"/>
    <n v="4"/>
  </r>
  <r>
    <x v="1"/>
    <n v="6431"/>
    <s v="FDC48"/>
    <x v="13"/>
    <x v="7"/>
    <s v="OUT019"/>
    <x v="0"/>
    <x v="1"/>
    <x v="2"/>
    <n v="2.7767577000000002E-2"/>
    <n v="0"/>
    <n v="82.159199999999998"/>
    <n v="4"/>
  </r>
  <r>
    <x v="1"/>
    <n v="6432"/>
    <s v="FDH12"/>
    <x v="13"/>
    <x v="7"/>
    <s v="OUT019"/>
    <x v="0"/>
    <x v="1"/>
    <x v="2"/>
    <n v="0.14874289600000001"/>
    <n v="0"/>
    <n v="107.128"/>
    <n v="4"/>
  </r>
  <r>
    <x v="1"/>
    <n v="6433"/>
    <s v="FDH48"/>
    <x v="13"/>
    <x v="7"/>
    <s v="OUT019"/>
    <x v="0"/>
    <x v="1"/>
    <x v="2"/>
    <n v="0.105893301"/>
    <n v="0"/>
    <n v="86.254000000000005"/>
    <n v="4"/>
  </r>
  <r>
    <x v="1"/>
    <n v="6434"/>
    <s v="FDI24"/>
    <x v="13"/>
    <x v="7"/>
    <s v="OUT019"/>
    <x v="0"/>
    <x v="1"/>
    <x v="2"/>
    <n v="0.13787023700000001"/>
    <n v="0"/>
    <n v="175.03700000000001"/>
    <n v="4"/>
  </r>
  <r>
    <x v="1"/>
    <n v="6435"/>
    <s v="FDS48"/>
    <x v="13"/>
    <x v="7"/>
    <s v="OUT019"/>
    <x v="0"/>
    <x v="1"/>
    <x v="2"/>
    <n v="4.8637887999999997E-2"/>
    <n v="0"/>
    <n v="149.77080000000001"/>
    <n v="4"/>
  </r>
  <r>
    <x v="1"/>
    <n v="6436"/>
    <s v="FDY36"/>
    <x v="13"/>
    <x v="7"/>
    <s v="OUT019"/>
    <x v="0"/>
    <x v="1"/>
    <x v="2"/>
    <n v="1.6476619000000001E-2"/>
    <n v="0"/>
    <n v="74.337999999999994"/>
    <n v="4"/>
  </r>
  <r>
    <x v="1"/>
    <n v="6437"/>
    <s v="FDO23"/>
    <x v="8"/>
    <x v="7"/>
    <s v="OUT019"/>
    <x v="0"/>
    <x v="1"/>
    <x v="2"/>
    <n v="0.25637538999999998"/>
    <n v="0"/>
    <n v="94.843599999999995"/>
    <n v="4"/>
  </r>
  <r>
    <x v="1"/>
    <n v="6438"/>
    <s v="FDP11"/>
    <x v="8"/>
    <x v="7"/>
    <s v="OUT019"/>
    <x v="0"/>
    <x v="1"/>
    <x v="2"/>
    <n v="0.12098613900000001"/>
    <n v="0"/>
    <n v="216.11660000000001"/>
    <n v="4"/>
  </r>
  <r>
    <x v="1"/>
    <n v="6439"/>
    <s v="FDV47"/>
    <x v="8"/>
    <x v="7"/>
    <s v="OUT019"/>
    <x v="0"/>
    <x v="1"/>
    <x v="2"/>
    <n v="9.4910420999999995E-2"/>
    <n v="0"/>
    <n v="84.556600000000003"/>
    <n v="4"/>
  </r>
  <r>
    <x v="1"/>
    <n v="6440"/>
    <s v="FDW47"/>
    <x v="8"/>
    <x v="7"/>
    <s v="OUT019"/>
    <x v="0"/>
    <x v="1"/>
    <x v="2"/>
    <n v="8.1197035000000001E-2"/>
    <n v="0"/>
    <n v="121.7414"/>
    <n v="4"/>
  </r>
  <r>
    <x v="1"/>
    <n v="6441"/>
    <s v="FDW59"/>
    <x v="8"/>
    <x v="7"/>
    <s v="OUT019"/>
    <x v="0"/>
    <x v="1"/>
    <x v="2"/>
    <n v="3.627089E-2"/>
    <n v="0"/>
    <n v="85.956599999999995"/>
    <n v="4"/>
  </r>
  <r>
    <x v="1"/>
    <n v="6442"/>
    <s v="FDN01"/>
    <x v="12"/>
    <x v="7"/>
    <s v="OUT019"/>
    <x v="0"/>
    <x v="1"/>
    <x v="2"/>
    <n v="0.12676090800000001"/>
    <n v="0"/>
    <n v="176.93700000000001"/>
    <n v="4"/>
  </r>
  <r>
    <x v="1"/>
    <n v="6443"/>
    <s v="FDP37"/>
    <x v="12"/>
    <x v="7"/>
    <s v="OUT019"/>
    <x v="0"/>
    <x v="1"/>
    <x v="2"/>
    <n v="0.25056004900000001"/>
    <n v="0"/>
    <n v="126.99939999999999"/>
    <n v="4"/>
  </r>
  <r>
    <x v="1"/>
    <n v="6444"/>
    <s v="FDA49"/>
    <x v="3"/>
    <x v="7"/>
    <s v="OUT019"/>
    <x v="0"/>
    <x v="1"/>
    <x v="2"/>
    <n v="0.11366962899999999"/>
    <n v="0"/>
    <n v="89.019800000000004"/>
    <n v="4"/>
  </r>
  <r>
    <x v="1"/>
    <n v="6445"/>
    <s v="FDT13"/>
    <x v="3"/>
    <x v="7"/>
    <s v="OUT019"/>
    <x v="0"/>
    <x v="1"/>
    <x v="2"/>
    <n v="3.2516546E-2"/>
    <n v="0"/>
    <n v="188.82140000000001"/>
    <n v="4"/>
  </r>
  <r>
    <x v="1"/>
    <n v="6446"/>
    <s v="DRD27"/>
    <x v="11"/>
    <x v="7"/>
    <s v="OUT019"/>
    <x v="0"/>
    <x v="1"/>
    <x v="2"/>
    <n v="4.1740623999999997E-2"/>
    <n v="0"/>
    <n v="98.304199999999994"/>
    <n v="4"/>
  </r>
  <r>
    <x v="1"/>
    <n v="6447"/>
    <s v="DRH15"/>
    <x v="11"/>
    <x v="7"/>
    <s v="OUT019"/>
    <x v="0"/>
    <x v="1"/>
    <x v="2"/>
    <n v="0.19244045000000001"/>
    <n v="0"/>
    <n v="43.942799999999998"/>
    <n v="4"/>
  </r>
  <r>
    <x v="1"/>
    <n v="6448"/>
    <s v="FDB39"/>
    <x v="11"/>
    <x v="7"/>
    <s v="OUT019"/>
    <x v="0"/>
    <x v="1"/>
    <x v="2"/>
    <n v="6.7441725999999994E-2"/>
    <n v="0"/>
    <n v="57.427199999999999"/>
    <n v="4"/>
  </r>
  <r>
    <x v="1"/>
    <n v="6449"/>
    <s v="FDD04"/>
    <x v="11"/>
    <x v="7"/>
    <s v="OUT019"/>
    <x v="0"/>
    <x v="1"/>
    <x v="2"/>
    <n v="0.15752811799999999"/>
    <n v="0"/>
    <n v="142.91540000000001"/>
    <n v="4"/>
  </r>
  <r>
    <x v="1"/>
    <n v="6450"/>
    <s v="FDH27"/>
    <x v="11"/>
    <x v="7"/>
    <s v="OUT019"/>
    <x v="0"/>
    <x v="1"/>
    <x v="2"/>
    <n v="0.10215795799999999"/>
    <n v="0"/>
    <n v="145.0128"/>
    <n v="4"/>
  </r>
  <r>
    <x v="1"/>
    <n v="6451"/>
    <s v="FDR14"/>
    <x v="11"/>
    <x v="7"/>
    <s v="OUT019"/>
    <x v="0"/>
    <x v="1"/>
    <x v="2"/>
    <n v="0.30473738700000003"/>
    <n v="0"/>
    <n v="54.729799999999997"/>
    <n v="4"/>
  </r>
  <r>
    <x v="1"/>
    <n v="6452"/>
    <s v="FDV38"/>
    <x v="11"/>
    <x v="7"/>
    <s v="OUT019"/>
    <x v="0"/>
    <x v="1"/>
    <x v="2"/>
    <n v="0.17819286400000001"/>
    <n v="0"/>
    <n v="54.995600000000003"/>
    <n v="4"/>
  </r>
  <r>
    <x v="1"/>
    <n v="6453"/>
    <s v="FDZ38"/>
    <x v="11"/>
    <x v="7"/>
    <s v="OUT019"/>
    <x v="0"/>
    <x v="1"/>
    <x v="2"/>
    <n v="1.4008751E-2"/>
    <n v="0"/>
    <n v="171.34219999999999"/>
    <n v="4"/>
  </r>
  <r>
    <x v="1"/>
    <n v="6454"/>
    <s v="FDB17"/>
    <x v="2"/>
    <x v="7"/>
    <s v="OUT019"/>
    <x v="0"/>
    <x v="1"/>
    <x v="2"/>
    <n v="6.4208126000000004E-2"/>
    <n v="0"/>
    <n v="180.19759999999999"/>
    <n v="4"/>
  </r>
  <r>
    <x v="1"/>
    <n v="6455"/>
    <s v="FDD16"/>
    <x v="2"/>
    <x v="7"/>
    <s v="OUT019"/>
    <x v="0"/>
    <x v="1"/>
    <x v="2"/>
    <n v="6.3649581999999996E-2"/>
    <n v="0"/>
    <n v="74.769599999999997"/>
    <n v="4"/>
  </r>
  <r>
    <x v="1"/>
    <n v="6456"/>
    <s v="FDD53"/>
    <x v="2"/>
    <x v="7"/>
    <s v="OUT019"/>
    <x v="0"/>
    <x v="1"/>
    <x v="2"/>
    <n v="7.7427883000000003E-2"/>
    <n v="0"/>
    <n v="41.845399999999998"/>
    <n v="4"/>
  </r>
  <r>
    <x v="1"/>
    <n v="6457"/>
    <s v="FDE16"/>
    <x v="2"/>
    <x v="7"/>
    <s v="OUT019"/>
    <x v="0"/>
    <x v="1"/>
    <x v="2"/>
    <n v="4.6124444000000001E-2"/>
    <n v="0"/>
    <n v="206.7954"/>
    <n v="4"/>
  </r>
  <r>
    <x v="1"/>
    <n v="6458"/>
    <s v="FDG04"/>
    <x v="2"/>
    <x v="7"/>
    <s v="OUT019"/>
    <x v="0"/>
    <x v="1"/>
    <x v="2"/>
    <n v="1.0615026E-2"/>
    <n v="0"/>
    <n v="185.18979999999999"/>
    <n v="4"/>
  </r>
  <r>
    <x v="1"/>
    <n v="6459"/>
    <s v="FDS40"/>
    <x v="2"/>
    <x v="7"/>
    <s v="OUT019"/>
    <x v="0"/>
    <x v="1"/>
    <x v="2"/>
    <n v="2.4546148E-2"/>
    <n v="0"/>
    <n v="34.619"/>
    <n v="4"/>
  </r>
  <r>
    <x v="1"/>
    <n v="6460"/>
    <s v="FDT40"/>
    <x v="2"/>
    <x v="7"/>
    <s v="OUT019"/>
    <x v="0"/>
    <x v="1"/>
    <x v="2"/>
    <n v="0.16772525099999999"/>
    <n v="0"/>
    <n v="128.36779999999999"/>
    <n v="4"/>
  </r>
  <r>
    <x v="1"/>
    <n v="6461"/>
    <s v="FDU52"/>
    <x v="2"/>
    <x v="7"/>
    <s v="OUT019"/>
    <x v="0"/>
    <x v="1"/>
    <x v="2"/>
    <n v="0.11165454499999999"/>
    <n v="0"/>
    <n v="157.06299999999999"/>
    <n v="4"/>
  </r>
  <r>
    <x v="1"/>
    <n v="6462"/>
    <s v="FDB32"/>
    <x v="0"/>
    <x v="7"/>
    <s v="OUT019"/>
    <x v="0"/>
    <x v="1"/>
    <x v="2"/>
    <n v="4.1063069000000001E-2"/>
    <n v="0"/>
    <n v="93.577799999999996"/>
    <n v="4"/>
  </r>
  <r>
    <x v="1"/>
    <n v="6463"/>
    <s v="FDB45"/>
    <x v="0"/>
    <x v="7"/>
    <s v="OUT019"/>
    <x v="0"/>
    <x v="1"/>
    <x v="2"/>
    <n v="3.7345714000000002E-2"/>
    <n v="0"/>
    <n v="106.53060000000001"/>
    <n v="4"/>
  </r>
  <r>
    <x v="1"/>
    <n v="6464"/>
    <s v="FDC32"/>
    <x v="0"/>
    <x v="7"/>
    <s v="OUT019"/>
    <x v="0"/>
    <x v="1"/>
    <x v="2"/>
    <n v="0.17352706800000001"/>
    <n v="0"/>
    <n v="92.046199999999999"/>
    <n v="4"/>
  </r>
  <r>
    <x v="1"/>
    <n v="6465"/>
    <s v="FDE08"/>
    <x v="0"/>
    <x v="7"/>
    <s v="OUT019"/>
    <x v="0"/>
    <x v="1"/>
    <x v="2"/>
    <n v="8.6352402999999994E-2"/>
    <n v="0"/>
    <n v="149.8734"/>
    <n v="4"/>
  </r>
  <r>
    <x v="1"/>
    <n v="6466"/>
    <s v="FDG44"/>
    <x v="0"/>
    <x v="7"/>
    <s v="OUT019"/>
    <x v="0"/>
    <x v="1"/>
    <x v="2"/>
    <n v="0.178923163"/>
    <n v="0"/>
    <n v="55.729799999999997"/>
    <n v="4"/>
  </r>
  <r>
    <x v="1"/>
    <n v="6467"/>
    <s v="FDJ56"/>
    <x v="0"/>
    <x v="7"/>
    <s v="OUT019"/>
    <x v="0"/>
    <x v="1"/>
    <x v="2"/>
    <n v="0.32111500999999998"/>
    <n v="0"/>
    <n v="100.77"/>
    <n v="4"/>
  </r>
  <r>
    <x v="1"/>
    <n v="6468"/>
    <s v="FDX08"/>
    <x v="0"/>
    <x v="7"/>
    <s v="OUT019"/>
    <x v="0"/>
    <x v="1"/>
    <x v="2"/>
    <n v="3.9576776000000001E-2"/>
    <n v="0"/>
    <n v="179.93180000000001"/>
    <n v="4"/>
  </r>
  <r>
    <x v="1"/>
    <n v="6469"/>
    <s v="FDX20"/>
    <x v="0"/>
    <x v="7"/>
    <s v="OUT019"/>
    <x v="0"/>
    <x v="1"/>
    <x v="2"/>
    <n v="7.4517507999999996E-2"/>
    <n v="0"/>
    <n v="227.37200000000001"/>
    <n v="4"/>
  </r>
  <r>
    <x v="1"/>
    <n v="6470"/>
    <s v="FDX55"/>
    <x v="0"/>
    <x v="7"/>
    <s v="OUT019"/>
    <x v="0"/>
    <x v="1"/>
    <x v="2"/>
    <n v="9.6658404000000003E-2"/>
    <n v="0"/>
    <n v="216.91659999999999"/>
    <n v="4"/>
  </r>
  <r>
    <x v="1"/>
    <n v="6471"/>
    <s v="DRO59"/>
    <x v="9"/>
    <x v="7"/>
    <s v="OUT019"/>
    <x v="0"/>
    <x v="1"/>
    <x v="2"/>
    <n v="9.4817104999999999E-2"/>
    <n v="0"/>
    <n v="77.901200000000003"/>
    <n v="4"/>
  </r>
  <r>
    <x v="1"/>
    <n v="6472"/>
    <s v="DRP35"/>
    <x v="9"/>
    <x v="7"/>
    <s v="OUT019"/>
    <x v="0"/>
    <x v="1"/>
    <x v="2"/>
    <n v="0.15909690800000001"/>
    <n v="0"/>
    <n v="129.33359999999999"/>
    <n v="4"/>
  </r>
  <r>
    <x v="1"/>
    <n v="6473"/>
    <s v="NCQ05"/>
    <x v="1"/>
    <x v="7"/>
    <s v="OUT019"/>
    <x v="0"/>
    <x v="1"/>
    <x v="2"/>
    <n v="3.7829468999999998E-2"/>
    <n v="0"/>
    <n v="151.07079999999999"/>
    <n v="4"/>
  </r>
  <r>
    <x v="1"/>
    <n v="6474"/>
    <s v="NCT29"/>
    <x v="1"/>
    <x v="7"/>
    <s v="OUT019"/>
    <x v="0"/>
    <x v="1"/>
    <x v="2"/>
    <n v="0.112249603"/>
    <n v="0"/>
    <n v="123.34139999999999"/>
    <n v="4"/>
  </r>
  <r>
    <x v="1"/>
    <n v="6475"/>
    <s v="NCV29"/>
    <x v="1"/>
    <x v="7"/>
    <s v="OUT019"/>
    <x v="0"/>
    <x v="1"/>
    <x v="2"/>
    <n v="3.9996021E-2"/>
    <n v="0"/>
    <n v="176.76859999999999"/>
    <n v="4"/>
  </r>
  <r>
    <x v="1"/>
    <n v="6476"/>
    <s v="NCD43"/>
    <x v="5"/>
    <x v="7"/>
    <s v="OUT019"/>
    <x v="0"/>
    <x v="1"/>
    <x v="2"/>
    <n v="2.8048877E-2"/>
    <n v="0"/>
    <n v="106.1964"/>
    <n v="4"/>
  </r>
  <r>
    <x v="1"/>
    <n v="6477"/>
    <s v="NCE30"/>
    <x v="5"/>
    <x v="7"/>
    <s v="OUT019"/>
    <x v="0"/>
    <x v="1"/>
    <x v="2"/>
    <n v="0.17357440199999999"/>
    <n v="0"/>
    <n v="214.09020000000001"/>
    <n v="4"/>
  </r>
  <r>
    <x v="1"/>
    <n v="6478"/>
    <s v="NCF42"/>
    <x v="5"/>
    <x v="7"/>
    <s v="OUT019"/>
    <x v="0"/>
    <x v="1"/>
    <x v="2"/>
    <n v="0.29306613300000001"/>
    <n v="0"/>
    <n v="177.0712"/>
    <n v="4"/>
  </r>
  <r>
    <x v="1"/>
    <n v="6479"/>
    <s v="NCH43"/>
    <x v="5"/>
    <x v="7"/>
    <s v="OUT019"/>
    <x v="0"/>
    <x v="1"/>
    <x v="2"/>
    <n v="0.123557061"/>
    <n v="0"/>
    <n v="216.61920000000001"/>
    <n v="4"/>
  </r>
  <r>
    <x v="1"/>
    <n v="6480"/>
    <s v="NCH54"/>
    <x v="5"/>
    <x v="7"/>
    <s v="OUT019"/>
    <x v="0"/>
    <x v="1"/>
    <x v="2"/>
    <n v="0.12723424899999999"/>
    <n v="0"/>
    <n v="158.392"/>
    <n v="4"/>
  </r>
  <r>
    <x v="1"/>
    <n v="6481"/>
    <s v="NCH55"/>
    <x v="5"/>
    <x v="7"/>
    <s v="OUT019"/>
    <x v="0"/>
    <x v="1"/>
    <x v="2"/>
    <n v="6.0706748999999997E-2"/>
    <n v="0"/>
    <n v="127.502"/>
    <n v="4"/>
  </r>
  <r>
    <x v="1"/>
    <n v="6482"/>
    <s v="NCJ06"/>
    <x v="5"/>
    <x v="7"/>
    <s v="OUT019"/>
    <x v="0"/>
    <x v="1"/>
    <x v="2"/>
    <n v="6.0672262999999997E-2"/>
    <n v="0"/>
    <n v="119.87820000000001"/>
    <n v="4"/>
  </r>
  <r>
    <x v="1"/>
    <n v="6483"/>
    <s v="NCJ42"/>
    <x v="5"/>
    <x v="7"/>
    <s v="OUT019"/>
    <x v="0"/>
    <x v="1"/>
    <x v="2"/>
    <n v="2.5039776E-2"/>
    <n v="0"/>
    <n v="102.7332"/>
    <n v="4"/>
  </r>
  <r>
    <x v="1"/>
    <n v="6484"/>
    <s v="NCM30"/>
    <x v="5"/>
    <x v="7"/>
    <s v="OUT019"/>
    <x v="0"/>
    <x v="1"/>
    <x v="2"/>
    <n v="0.117825569"/>
    <n v="0"/>
    <n v="43.279600000000002"/>
    <n v="4"/>
  </r>
  <r>
    <x v="1"/>
    <n v="6485"/>
    <s v="NCR30"/>
    <x v="5"/>
    <x v="7"/>
    <s v="OUT019"/>
    <x v="0"/>
    <x v="1"/>
    <x v="2"/>
    <n v="0.124299531"/>
    <n v="0"/>
    <n v="73.4696"/>
    <n v="4"/>
  </r>
  <r>
    <x v="1"/>
    <n v="6486"/>
    <s v="NCS06"/>
    <x v="5"/>
    <x v="7"/>
    <s v="OUT019"/>
    <x v="0"/>
    <x v="1"/>
    <x v="2"/>
    <n v="5.5566934999999998E-2"/>
    <n v="0"/>
    <n v="263.59100000000001"/>
    <n v="4"/>
  </r>
  <r>
    <x v="1"/>
    <n v="6487"/>
    <s v="NCT30"/>
    <x v="5"/>
    <x v="7"/>
    <s v="OUT019"/>
    <x v="0"/>
    <x v="1"/>
    <x v="2"/>
    <n v="0.14058248500000001"/>
    <n v="0"/>
    <n v="47.171799999999998"/>
    <n v="4"/>
  </r>
  <r>
    <x v="1"/>
    <n v="6488"/>
    <s v="NCU18"/>
    <x v="5"/>
    <x v="7"/>
    <s v="OUT019"/>
    <x v="0"/>
    <x v="1"/>
    <x v="2"/>
    <n v="9.7768727999999999E-2"/>
    <n v="0"/>
    <n v="142.4496"/>
    <n v="4"/>
  </r>
  <r>
    <x v="1"/>
    <n v="6489"/>
    <s v="NCX18"/>
    <x v="5"/>
    <x v="7"/>
    <s v="OUT019"/>
    <x v="0"/>
    <x v="1"/>
    <x v="2"/>
    <n v="1.5397129000000001E-2"/>
    <n v="0"/>
    <n v="194.911"/>
    <n v="4"/>
  </r>
  <r>
    <x v="1"/>
    <n v="6490"/>
    <s v="NCX42"/>
    <x v="5"/>
    <x v="7"/>
    <s v="OUT019"/>
    <x v="0"/>
    <x v="1"/>
    <x v="2"/>
    <n v="1.0467749E-2"/>
    <n v="0"/>
    <n v="162.95259999999999"/>
    <n v="4"/>
  </r>
  <r>
    <x v="1"/>
    <n v="6491"/>
    <s v="NCZ18"/>
    <x v="5"/>
    <x v="7"/>
    <s v="OUT019"/>
    <x v="0"/>
    <x v="1"/>
    <x v="2"/>
    <n v="0.32578080700000001"/>
    <n v="0"/>
    <n v="252.7698"/>
    <n v="4"/>
  </r>
  <r>
    <x v="1"/>
    <n v="6492"/>
    <s v="FDH19"/>
    <x v="7"/>
    <x v="7"/>
    <s v="OUT019"/>
    <x v="0"/>
    <x v="1"/>
    <x v="2"/>
    <n v="5.7933643E-2"/>
    <n v="0"/>
    <n v="175.1738"/>
    <n v="4"/>
  </r>
  <r>
    <x v="1"/>
    <n v="6493"/>
    <s v="FDP27"/>
    <x v="7"/>
    <x v="7"/>
    <s v="OUT019"/>
    <x v="0"/>
    <x v="1"/>
    <x v="2"/>
    <n v="0.20914265000000001"/>
    <n v="0"/>
    <n v="190.953"/>
    <n v="4"/>
  </r>
  <r>
    <x v="1"/>
    <n v="6494"/>
    <s v="FDV39"/>
    <x v="7"/>
    <x v="7"/>
    <s v="OUT019"/>
    <x v="0"/>
    <x v="1"/>
    <x v="2"/>
    <n v="0"/>
    <n v="0"/>
    <n v="196.8426"/>
    <n v="4"/>
  </r>
  <r>
    <x v="1"/>
    <n v="6495"/>
    <s v="NCL31"/>
    <x v="10"/>
    <x v="7"/>
    <s v="OUT019"/>
    <x v="0"/>
    <x v="1"/>
    <x v="2"/>
    <n v="0.210596485"/>
    <n v="0"/>
    <n v="144.74700000000001"/>
    <n v="4"/>
  </r>
  <r>
    <x v="1"/>
    <n v="6496"/>
    <s v="NCQ43"/>
    <x v="10"/>
    <x v="7"/>
    <s v="OUT019"/>
    <x v="0"/>
    <x v="1"/>
    <x v="2"/>
    <n v="0.194874778"/>
    <n v="0"/>
    <n v="110.2912"/>
    <n v="4"/>
  </r>
  <r>
    <x v="1"/>
    <n v="6497"/>
    <s v="FDH21"/>
    <x v="14"/>
    <x v="7"/>
    <s v="OUT019"/>
    <x v="0"/>
    <x v="1"/>
    <x v="2"/>
    <n v="5.4670967000000001E-2"/>
    <n v="0"/>
    <n v="158.66040000000001"/>
    <n v="4"/>
  </r>
  <r>
    <x v="1"/>
    <n v="6498"/>
    <s v="FDD58"/>
    <x v="6"/>
    <x v="7"/>
    <s v="OUT019"/>
    <x v="0"/>
    <x v="1"/>
    <x v="2"/>
    <n v="0.10391811300000001"/>
    <n v="0"/>
    <n v="100.67"/>
    <n v="4"/>
  </r>
  <r>
    <x v="1"/>
    <n v="6499"/>
    <s v="FDH10"/>
    <x v="6"/>
    <x v="7"/>
    <s v="OUT019"/>
    <x v="0"/>
    <x v="1"/>
    <x v="2"/>
    <n v="8.6326707000000003E-2"/>
    <n v="0"/>
    <n v="192.64779999999999"/>
    <n v="4"/>
  </r>
  <r>
    <x v="1"/>
    <n v="6500"/>
    <s v="FDN21"/>
    <x v="6"/>
    <x v="7"/>
    <s v="OUT019"/>
    <x v="0"/>
    <x v="1"/>
    <x v="2"/>
    <n v="0.13456428400000001"/>
    <n v="0"/>
    <n v="159.8236"/>
    <n v="4"/>
  </r>
  <r>
    <x v="1"/>
    <n v="6501"/>
    <s v="FDN57"/>
    <x v="6"/>
    <x v="7"/>
    <s v="OUT019"/>
    <x v="0"/>
    <x v="1"/>
    <x v="2"/>
    <n v="9.4957079E-2"/>
    <n v="0"/>
    <n v="143.5154"/>
    <n v="4"/>
  </r>
  <r>
    <x v="1"/>
    <n v="6502"/>
    <s v="FDP33"/>
    <x v="6"/>
    <x v="7"/>
    <s v="OUT019"/>
    <x v="0"/>
    <x v="1"/>
    <x v="2"/>
    <n v="0.15630419200000001"/>
    <n v="0"/>
    <n v="256.36720000000003"/>
    <n v="4"/>
  </r>
  <r>
    <x v="1"/>
    <n v="6503"/>
    <s v="FDP58"/>
    <x v="6"/>
    <x v="7"/>
    <s v="OUT019"/>
    <x v="0"/>
    <x v="1"/>
    <x v="2"/>
    <n v="0.23661675400000001"/>
    <n v="0"/>
    <n v="217.6482"/>
    <n v="4"/>
  </r>
  <r>
    <x v="1"/>
    <n v="6504"/>
    <s v="FDW34"/>
    <x v="6"/>
    <x v="7"/>
    <s v="OUT019"/>
    <x v="0"/>
    <x v="1"/>
    <x v="2"/>
    <n v="6.2294473000000003E-2"/>
    <n v="0"/>
    <n v="242.417"/>
    <n v="4"/>
  </r>
  <r>
    <x v="1"/>
    <n v="6505"/>
    <s v="FDX45"/>
    <x v="6"/>
    <x v="7"/>
    <s v="OUT019"/>
    <x v="0"/>
    <x v="1"/>
    <x v="2"/>
    <n v="0.18358896"/>
    <n v="0"/>
    <n v="154.66300000000001"/>
    <n v="4"/>
  </r>
  <r>
    <x v="1"/>
    <n v="6506"/>
    <s v="FDZ45"/>
    <x v="6"/>
    <x v="7"/>
    <s v="OUT019"/>
    <x v="0"/>
    <x v="1"/>
    <x v="2"/>
    <n v="0.117091213"/>
    <n v="0"/>
    <n v="197.9084"/>
    <n v="4"/>
  </r>
  <r>
    <x v="1"/>
    <n v="6507"/>
    <s v="DRC25"/>
    <x v="4"/>
    <x v="7"/>
    <s v="OUT019"/>
    <x v="0"/>
    <x v="1"/>
    <x v="2"/>
    <n v="7.9440261999999998E-2"/>
    <n v="0"/>
    <n v="86.788200000000003"/>
    <n v="4"/>
  </r>
  <r>
    <x v="1"/>
    <n v="6508"/>
    <s v="DRD25"/>
    <x v="4"/>
    <x v="7"/>
    <s v="OUT019"/>
    <x v="0"/>
    <x v="1"/>
    <x v="2"/>
    <n v="0.13826987299999999"/>
    <n v="0"/>
    <n v="111.68600000000001"/>
    <n v="4"/>
  </r>
  <r>
    <x v="1"/>
    <n v="6509"/>
    <s v="DRE37"/>
    <x v="4"/>
    <x v="7"/>
    <s v="OUT019"/>
    <x v="0"/>
    <x v="1"/>
    <x v="2"/>
    <n v="0.16496634499999999"/>
    <n v="0"/>
    <n v="189.4872"/>
    <n v="4"/>
  </r>
  <r>
    <x v="1"/>
    <n v="6510"/>
    <s v="DRG01"/>
    <x v="4"/>
    <x v="7"/>
    <s v="OUT019"/>
    <x v="0"/>
    <x v="1"/>
    <x v="2"/>
    <n v="7.8576074999999995E-2"/>
    <n v="0"/>
    <n v="78.466999999999999"/>
    <n v="4"/>
  </r>
  <r>
    <x v="1"/>
    <n v="6511"/>
    <s v="DRH36"/>
    <x v="4"/>
    <x v="7"/>
    <s v="OUT019"/>
    <x v="0"/>
    <x v="1"/>
    <x v="2"/>
    <n v="5.8444176E-2"/>
    <n v="0"/>
    <n v="73.069599999999994"/>
    <n v="4"/>
  </r>
  <r>
    <x v="1"/>
    <n v="6512"/>
    <s v="DRK37"/>
    <x v="4"/>
    <x v="7"/>
    <s v="OUT019"/>
    <x v="0"/>
    <x v="1"/>
    <x v="2"/>
    <n v="7.7046505000000001E-2"/>
    <n v="0"/>
    <n v="189.453"/>
    <n v="4"/>
  </r>
  <r>
    <x v="0"/>
    <n v="6513"/>
    <s v="FDC60"/>
    <x v="13"/>
    <x v="7"/>
    <s v="OUT019"/>
    <x v="0"/>
    <x v="1"/>
    <x v="2"/>
    <n v="0.2004264"/>
    <n v="0"/>
    <n v="88.851399999999998"/>
    <n v="4"/>
  </r>
  <r>
    <x v="0"/>
    <n v="6514"/>
    <s v="FDQ36"/>
    <x v="13"/>
    <x v="7"/>
    <s v="OUT019"/>
    <x v="0"/>
    <x v="1"/>
    <x v="2"/>
    <n v="0"/>
    <n v="0"/>
    <n v="38.184800000000003"/>
    <n v="4"/>
  </r>
  <r>
    <x v="0"/>
    <n v="6515"/>
    <s v="FDQ60"/>
    <x v="13"/>
    <x v="7"/>
    <s v="OUT019"/>
    <x v="0"/>
    <x v="1"/>
    <x v="2"/>
    <n v="0.191500528"/>
    <n v="0"/>
    <n v="121.2098"/>
    <n v="4"/>
  </r>
  <r>
    <x v="0"/>
    <n v="6516"/>
    <s v="FDU12"/>
    <x v="13"/>
    <x v="7"/>
    <s v="OUT019"/>
    <x v="0"/>
    <x v="1"/>
    <x v="2"/>
    <n v="0.13263034500000001"/>
    <n v="0"/>
    <n v="263.85680000000002"/>
    <n v="4"/>
  </r>
  <r>
    <x v="0"/>
    <n v="6517"/>
    <s v="FDZ59"/>
    <x v="13"/>
    <x v="7"/>
    <s v="OUT019"/>
    <x v="0"/>
    <x v="1"/>
    <x v="2"/>
    <n v="0.18212836299999999"/>
    <n v="0"/>
    <n v="165.65"/>
    <n v="4"/>
  </r>
  <r>
    <x v="0"/>
    <n v="6518"/>
    <s v="FDS11"/>
    <x v="8"/>
    <x v="7"/>
    <s v="OUT019"/>
    <x v="0"/>
    <x v="1"/>
    <x v="2"/>
    <n v="9.7275776999999994E-2"/>
    <n v="0"/>
    <n v="223.90880000000001"/>
    <n v="4"/>
  </r>
  <r>
    <x v="0"/>
    <n v="6519"/>
    <s v="FDS59"/>
    <x v="8"/>
    <x v="7"/>
    <s v="OUT019"/>
    <x v="0"/>
    <x v="1"/>
    <x v="2"/>
    <n v="7.6851759000000006E-2"/>
    <n v="0"/>
    <n v="111.857"/>
    <n v="4"/>
  </r>
  <r>
    <x v="0"/>
    <n v="6520"/>
    <s v="FDX35"/>
    <x v="8"/>
    <x v="7"/>
    <s v="OUT019"/>
    <x v="0"/>
    <x v="1"/>
    <x v="2"/>
    <n v="0.13991304500000001"/>
    <n v="0"/>
    <n v="227.90360000000001"/>
    <n v="4"/>
  </r>
  <r>
    <x v="0"/>
    <n v="6521"/>
    <s v="FDK25"/>
    <x v="12"/>
    <x v="7"/>
    <s v="OUT019"/>
    <x v="0"/>
    <x v="1"/>
    <x v="2"/>
    <n v="0.27459228299999999"/>
    <n v="0"/>
    <n v="167.84739999999999"/>
    <n v="4"/>
  </r>
  <r>
    <x v="0"/>
    <n v="6522"/>
    <s v="FDP49"/>
    <x v="12"/>
    <x v="7"/>
    <s v="OUT019"/>
    <x v="0"/>
    <x v="1"/>
    <x v="2"/>
    <n v="0.120965853"/>
    <n v="0"/>
    <n v="55.861400000000003"/>
    <n v="4"/>
  </r>
  <r>
    <x v="0"/>
    <n v="6523"/>
    <s v="FDB14"/>
    <x v="3"/>
    <x v="7"/>
    <s v="OUT019"/>
    <x v="0"/>
    <x v="1"/>
    <x v="2"/>
    <n v="0"/>
    <n v="0"/>
    <n v="92.311999999999998"/>
    <n v="4"/>
  </r>
  <r>
    <x v="0"/>
    <n v="6524"/>
    <s v="FDJ02"/>
    <x v="3"/>
    <x v="7"/>
    <s v="OUT019"/>
    <x v="0"/>
    <x v="1"/>
    <x v="2"/>
    <n v="4.4063785000000001E-2"/>
    <n v="0"/>
    <n v="147.24180000000001"/>
    <n v="4"/>
  </r>
  <r>
    <x v="0"/>
    <n v="6525"/>
    <s v="FDJ14"/>
    <x v="3"/>
    <x v="7"/>
    <s v="OUT019"/>
    <x v="0"/>
    <x v="1"/>
    <x v="2"/>
    <n v="0"/>
    <n v="0"/>
    <n v="78.896000000000001"/>
    <n v="4"/>
  </r>
  <r>
    <x v="0"/>
    <n v="6526"/>
    <s v="FDN38"/>
    <x v="3"/>
    <x v="7"/>
    <s v="OUT019"/>
    <x v="0"/>
    <x v="1"/>
    <x v="2"/>
    <n v="0.161030847"/>
    <n v="0"/>
    <n v="251.24080000000001"/>
    <n v="4"/>
  </r>
  <r>
    <x v="0"/>
    <n v="6527"/>
    <s v="FDY49"/>
    <x v="3"/>
    <x v="7"/>
    <s v="OUT019"/>
    <x v="0"/>
    <x v="1"/>
    <x v="2"/>
    <n v="2.1031586000000001E-2"/>
    <n v="0"/>
    <n v="164.7184"/>
    <n v="4"/>
  </r>
  <r>
    <x v="0"/>
    <n v="6528"/>
    <s v="FDA26"/>
    <x v="11"/>
    <x v="7"/>
    <s v="OUT019"/>
    <x v="0"/>
    <x v="1"/>
    <x v="2"/>
    <n v="0.12942514499999999"/>
    <n v="0"/>
    <n v="219.34819999999999"/>
    <n v="4"/>
  </r>
  <r>
    <x v="0"/>
    <n v="6529"/>
    <s v="FDU26"/>
    <x v="11"/>
    <x v="7"/>
    <s v="OUT019"/>
    <x v="0"/>
    <x v="1"/>
    <x v="2"/>
    <n v="7.4620291000000005E-2"/>
    <n v="0"/>
    <n v="120.1782"/>
    <n v="4"/>
  </r>
  <r>
    <x v="0"/>
    <n v="6530"/>
    <s v="FDV26"/>
    <x v="11"/>
    <x v="7"/>
    <s v="OUT019"/>
    <x v="0"/>
    <x v="1"/>
    <x v="2"/>
    <n v="0.13334711899999999"/>
    <n v="0"/>
    <n v="193.07939999999999"/>
    <n v="4"/>
  </r>
  <r>
    <x v="0"/>
    <n v="6531"/>
    <s v="FDY02"/>
    <x v="11"/>
    <x v="7"/>
    <s v="OUT019"/>
    <x v="0"/>
    <x v="1"/>
    <x v="2"/>
    <n v="0.153456703"/>
    <n v="0"/>
    <n v="264.09100000000001"/>
    <n v="4"/>
  </r>
  <r>
    <x v="0"/>
    <n v="6532"/>
    <s v="FDH04"/>
    <x v="2"/>
    <x v="7"/>
    <s v="OUT019"/>
    <x v="0"/>
    <x v="1"/>
    <x v="2"/>
    <n v="1.9912605999999999E-2"/>
    <n v="0"/>
    <n v="91.0488"/>
    <n v="4"/>
  </r>
  <r>
    <x v="0"/>
    <n v="6533"/>
    <s v="FDI04"/>
    <x v="2"/>
    <x v="7"/>
    <s v="OUT019"/>
    <x v="0"/>
    <x v="1"/>
    <x v="2"/>
    <n v="0.127660257"/>
    <n v="0"/>
    <n v="198.54259999999999"/>
    <n v="4"/>
  </r>
  <r>
    <x v="0"/>
    <n v="6534"/>
    <s v="FDL28"/>
    <x v="2"/>
    <x v="7"/>
    <s v="OUT019"/>
    <x v="0"/>
    <x v="1"/>
    <x v="2"/>
    <n v="0"/>
    <n v="0"/>
    <n v="230.0668"/>
    <n v="4"/>
  </r>
  <r>
    <x v="0"/>
    <n v="6535"/>
    <s v="FDQ40"/>
    <x v="2"/>
    <x v="7"/>
    <s v="OUT019"/>
    <x v="0"/>
    <x v="1"/>
    <x v="2"/>
    <n v="6.3079544000000001E-2"/>
    <n v="0"/>
    <n v="175.77119999999999"/>
    <n v="4"/>
  </r>
  <r>
    <x v="0"/>
    <n v="6536"/>
    <s v="FDR52"/>
    <x v="2"/>
    <x v="7"/>
    <s v="OUT019"/>
    <x v="0"/>
    <x v="1"/>
    <x v="2"/>
    <n v="0.13314425899999999"/>
    <n v="0"/>
    <n v="190.88460000000001"/>
    <n v="4"/>
  </r>
  <r>
    <x v="0"/>
    <n v="6537"/>
    <s v="FDV16"/>
    <x v="2"/>
    <x v="7"/>
    <s v="OUT019"/>
    <x v="0"/>
    <x v="1"/>
    <x v="2"/>
    <n v="0.145200948"/>
    <n v="0"/>
    <n v="35.455800000000004"/>
    <n v="4"/>
  </r>
  <r>
    <x v="0"/>
    <n v="6538"/>
    <s v="FDX52"/>
    <x v="2"/>
    <x v="7"/>
    <s v="OUT019"/>
    <x v="0"/>
    <x v="1"/>
    <x v="2"/>
    <n v="7.3541071999999999E-2"/>
    <n v="0"/>
    <n v="192.28200000000001"/>
    <n v="4"/>
  </r>
  <r>
    <x v="0"/>
    <n v="6539"/>
    <s v="FDA55"/>
    <x v="0"/>
    <x v="7"/>
    <s v="OUT019"/>
    <x v="0"/>
    <x v="1"/>
    <x v="2"/>
    <n v="9.9780431000000003E-2"/>
    <n v="0"/>
    <n v="225.2088"/>
    <n v="4"/>
  </r>
  <r>
    <x v="0"/>
    <n v="6540"/>
    <s v="FDC21"/>
    <x v="0"/>
    <x v="7"/>
    <s v="OUT019"/>
    <x v="0"/>
    <x v="1"/>
    <x v="2"/>
    <n v="7.5215349000000001E-2"/>
    <n v="0"/>
    <n v="108.4254"/>
    <n v="4"/>
  </r>
  <r>
    <x v="0"/>
    <n v="6541"/>
    <s v="FDL32"/>
    <x v="0"/>
    <x v="7"/>
    <s v="OUT019"/>
    <x v="0"/>
    <x v="1"/>
    <x v="2"/>
    <n v="0.214423791"/>
    <n v="0"/>
    <n v="111.6544"/>
    <n v="4"/>
  </r>
  <r>
    <x v="0"/>
    <n v="6542"/>
    <s v="FDN56"/>
    <x v="0"/>
    <x v="7"/>
    <s v="OUT019"/>
    <x v="0"/>
    <x v="1"/>
    <x v="2"/>
    <n v="0.187443314"/>
    <n v="0"/>
    <n v="145.87860000000001"/>
    <n v="4"/>
  </r>
  <r>
    <x v="0"/>
    <n v="6543"/>
    <s v="FDR31"/>
    <x v="0"/>
    <x v="7"/>
    <s v="OUT019"/>
    <x v="0"/>
    <x v="1"/>
    <x v="2"/>
    <n v="8.6077865000000003E-2"/>
    <n v="0"/>
    <n v="143.81020000000001"/>
    <n v="4"/>
  </r>
  <r>
    <x v="0"/>
    <n v="6544"/>
    <s v="FDS44"/>
    <x v="0"/>
    <x v="7"/>
    <s v="OUT019"/>
    <x v="0"/>
    <x v="1"/>
    <x v="2"/>
    <n v="0.27321283000000002"/>
    <n v="0"/>
    <n v="240.9538"/>
    <n v="4"/>
  </r>
  <r>
    <x v="0"/>
    <n v="6545"/>
    <s v="FDU20"/>
    <x v="0"/>
    <x v="7"/>
    <s v="OUT019"/>
    <x v="0"/>
    <x v="1"/>
    <x v="2"/>
    <n v="3.7569401000000002E-2"/>
    <n v="0"/>
    <n v="120.7098"/>
    <n v="4"/>
  </r>
  <r>
    <x v="0"/>
    <n v="6546"/>
    <s v="FDV19"/>
    <x v="0"/>
    <x v="7"/>
    <s v="OUT019"/>
    <x v="0"/>
    <x v="1"/>
    <x v="2"/>
    <n v="6.1730519999999997E-2"/>
    <n v="0"/>
    <n v="159.15780000000001"/>
    <n v="4"/>
  </r>
  <r>
    <x v="0"/>
    <n v="6547"/>
    <s v="FDW32"/>
    <x v="0"/>
    <x v="7"/>
    <s v="OUT019"/>
    <x v="0"/>
    <x v="1"/>
    <x v="2"/>
    <n v="0.165101585"/>
    <n v="0"/>
    <n v="87.788200000000003"/>
    <n v="4"/>
  </r>
  <r>
    <x v="0"/>
    <n v="6548"/>
    <s v="FDX31"/>
    <x v="0"/>
    <x v="7"/>
    <s v="OUT019"/>
    <x v="0"/>
    <x v="1"/>
    <x v="2"/>
    <n v="0"/>
    <n v="0"/>
    <n v="234.79580000000001"/>
    <n v="4"/>
  </r>
  <r>
    <x v="0"/>
    <n v="6549"/>
    <s v="FDY56"/>
    <x v="0"/>
    <x v="7"/>
    <s v="OUT019"/>
    <x v="0"/>
    <x v="1"/>
    <x v="2"/>
    <n v="0.109274313"/>
    <n v="0"/>
    <n v="225.30619999999999"/>
    <n v="4"/>
  </r>
  <r>
    <x v="0"/>
    <n v="6550"/>
    <s v="FDZ07"/>
    <x v="0"/>
    <x v="7"/>
    <s v="OUT019"/>
    <x v="0"/>
    <x v="1"/>
    <x v="2"/>
    <n v="0.16439157300000001"/>
    <n v="0"/>
    <n v="62.819400000000002"/>
    <n v="4"/>
  </r>
  <r>
    <x v="0"/>
    <n v="6551"/>
    <s v="FDM27"/>
    <x v="7"/>
    <x v="7"/>
    <s v="OUT019"/>
    <x v="0"/>
    <x v="1"/>
    <x v="2"/>
    <n v="0.277459381"/>
    <n v="0"/>
    <n v="156.3946"/>
    <n v="4"/>
  </r>
  <r>
    <x v="0"/>
    <n v="6552"/>
    <s v="FDO15"/>
    <x v="7"/>
    <x v="7"/>
    <s v="OUT019"/>
    <x v="0"/>
    <x v="1"/>
    <x v="2"/>
    <n v="1.4998914E-2"/>
    <n v="0"/>
    <n v="72.403800000000004"/>
    <n v="4"/>
  </r>
  <r>
    <x v="0"/>
    <n v="6553"/>
    <s v="FDP51"/>
    <x v="7"/>
    <x v="7"/>
    <s v="OUT019"/>
    <x v="0"/>
    <x v="1"/>
    <x v="2"/>
    <n v="0.14930549700000001"/>
    <n v="0"/>
    <n v="119.61239999999999"/>
    <n v="4"/>
  </r>
  <r>
    <x v="0"/>
    <n v="6554"/>
    <s v="FDQ03"/>
    <x v="7"/>
    <x v="7"/>
    <s v="OUT019"/>
    <x v="0"/>
    <x v="1"/>
    <x v="2"/>
    <n v="0.13659289099999999"/>
    <n v="0"/>
    <n v="238.0248"/>
    <n v="4"/>
  </r>
  <r>
    <x v="0"/>
    <n v="6555"/>
    <s v="FDT15"/>
    <x v="7"/>
    <x v="7"/>
    <s v="OUT019"/>
    <x v="0"/>
    <x v="1"/>
    <x v="2"/>
    <n v="7.4729834999999994E-2"/>
    <n v="0"/>
    <n v="183.79499999999999"/>
    <n v="4"/>
  </r>
  <r>
    <x v="0"/>
    <n v="6556"/>
    <s v="FDT51"/>
    <x v="7"/>
    <x v="7"/>
    <s v="OUT019"/>
    <x v="0"/>
    <x v="1"/>
    <x v="2"/>
    <n v="1.9117392E-2"/>
    <n v="0"/>
    <n v="110.6544"/>
    <n v="4"/>
  </r>
  <r>
    <x v="0"/>
    <n v="6557"/>
    <s v="FDV27"/>
    <x v="7"/>
    <x v="7"/>
    <s v="OUT019"/>
    <x v="0"/>
    <x v="1"/>
    <x v="2"/>
    <n v="7.0017381000000004E-2"/>
    <n v="0"/>
    <n v="89.351399999999998"/>
    <n v="4"/>
  </r>
  <r>
    <x v="0"/>
    <n v="6558"/>
    <s v="FDG21"/>
    <x v="14"/>
    <x v="7"/>
    <s v="OUT019"/>
    <x v="0"/>
    <x v="1"/>
    <x v="2"/>
    <n v="0.256152243"/>
    <n v="0"/>
    <n v="151.005"/>
    <n v="4"/>
  </r>
  <r>
    <x v="0"/>
    <n v="6559"/>
    <s v="FDG33"/>
    <x v="14"/>
    <x v="7"/>
    <s v="OUT019"/>
    <x v="0"/>
    <x v="1"/>
    <x v="2"/>
    <n v="0.24554262700000001"/>
    <n v="0"/>
    <n v="172.2764"/>
    <n v="4"/>
  </r>
  <r>
    <x v="0"/>
    <n v="6560"/>
    <s v="FDJ57"/>
    <x v="14"/>
    <x v="7"/>
    <s v="OUT019"/>
    <x v="0"/>
    <x v="1"/>
    <x v="2"/>
    <n v="0"/>
    <n v="0"/>
    <n v="184.35820000000001"/>
    <n v="4"/>
  </r>
  <r>
    <x v="0"/>
    <n v="6561"/>
    <s v="FDB58"/>
    <x v="6"/>
    <x v="7"/>
    <s v="OUT019"/>
    <x v="0"/>
    <x v="1"/>
    <x v="2"/>
    <n v="2.363057E-2"/>
    <n v="0"/>
    <n v="141.71539999999999"/>
    <n v="4"/>
  </r>
  <r>
    <x v="0"/>
    <n v="6562"/>
    <s v="FDC34"/>
    <x v="6"/>
    <x v="7"/>
    <s v="OUT019"/>
    <x v="0"/>
    <x v="1"/>
    <x v="2"/>
    <n v="0.30247887099999998"/>
    <n v="0"/>
    <n v="155.49719999999999"/>
    <n v="4"/>
  </r>
  <r>
    <x v="0"/>
    <n v="6563"/>
    <s v="FDG46"/>
    <x v="6"/>
    <x v="7"/>
    <s v="OUT019"/>
    <x v="0"/>
    <x v="1"/>
    <x v="2"/>
    <n v="5.7620562E-2"/>
    <n v="0"/>
    <n v="115.45180000000001"/>
    <n v="4"/>
  </r>
  <r>
    <x v="0"/>
    <n v="6564"/>
    <s v="FDP21"/>
    <x v="6"/>
    <x v="7"/>
    <s v="OUT019"/>
    <x v="0"/>
    <x v="1"/>
    <x v="2"/>
    <n v="4.5068891999999999E-2"/>
    <n v="0"/>
    <n v="190.88720000000001"/>
    <n v="4"/>
  </r>
  <r>
    <x v="0"/>
    <n v="6565"/>
    <s v="FDU21"/>
    <x v="6"/>
    <x v="7"/>
    <s v="OUT019"/>
    <x v="0"/>
    <x v="1"/>
    <x v="2"/>
    <n v="0.13432761300000001"/>
    <n v="0"/>
    <n v="35.055799999999998"/>
    <n v="4"/>
  </r>
  <r>
    <x v="0"/>
    <n v="6566"/>
    <s v="FDY34"/>
    <x v="6"/>
    <x v="7"/>
    <s v="OUT019"/>
    <x v="0"/>
    <x v="1"/>
    <x v="2"/>
    <n v="1.9227815999999998E-2"/>
    <n v="0"/>
    <n v="163.98419999999999"/>
    <n v="4"/>
  </r>
  <r>
    <x v="0"/>
    <n v="6567"/>
    <s v="DRA59"/>
    <x v="4"/>
    <x v="7"/>
    <s v="OUT019"/>
    <x v="0"/>
    <x v="1"/>
    <x v="2"/>
    <n v="0.223985293"/>
    <n v="0"/>
    <n v="186.29239999999999"/>
    <n v="4"/>
  </r>
  <r>
    <x v="0"/>
    <n v="6568"/>
    <s v="DRL01"/>
    <x v="4"/>
    <x v="7"/>
    <s v="OUT019"/>
    <x v="0"/>
    <x v="1"/>
    <x v="2"/>
    <n v="0.13511877"/>
    <n v="0"/>
    <n v="232.9958"/>
    <n v="4"/>
  </r>
  <r>
    <x v="0"/>
    <n v="6569"/>
    <s v="FDB23"/>
    <x v="15"/>
    <x v="7"/>
    <s v="OUT019"/>
    <x v="0"/>
    <x v="1"/>
    <x v="2"/>
    <n v="9.7849200000000008E-3"/>
    <n v="0"/>
    <n v="225.90620000000001"/>
    <n v="4"/>
  </r>
  <r>
    <x v="1"/>
    <n v="6570"/>
    <s v="FDZ48"/>
    <x v="13"/>
    <x v="7"/>
    <s v="OUT019"/>
    <x v="0"/>
    <x v="1"/>
    <x v="2"/>
    <n v="0.13299549399999999"/>
    <n v="0"/>
    <n v="113.5544"/>
    <n v="4"/>
  </r>
  <r>
    <x v="1"/>
    <n v="6571"/>
    <s v="FDP25"/>
    <x v="3"/>
    <x v="7"/>
    <s v="OUT019"/>
    <x v="0"/>
    <x v="1"/>
    <x v="2"/>
    <n v="3.7131628E-2"/>
    <n v="0"/>
    <n v="216.48240000000001"/>
    <n v="4"/>
  </r>
  <r>
    <x v="1"/>
    <n v="6572"/>
    <s v="FDC20"/>
    <x v="0"/>
    <x v="7"/>
    <s v="OUT019"/>
    <x v="0"/>
    <x v="1"/>
    <x v="2"/>
    <n v="4.1970937999999999E-2"/>
    <n v="0"/>
    <n v="55.427199999999999"/>
    <n v="4"/>
  </r>
  <r>
    <x v="1"/>
    <n v="6573"/>
    <s v="NCP55"/>
    <x v="10"/>
    <x v="7"/>
    <s v="OUT019"/>
    <x v="0"/>
    <x v="1"/>
    <x v="2"/>
    <n v="1.9592288999999999E-2"/>
    <n v="0"/>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n v="0"/>
    <n v="106.26220000000001"/>
    <n v="4"/>
  </r>
  <r>
    <x v="1"/>
    <n v="8248"/>
    <s v="FDS47"/>
    <x v="8"/>
    <x v="7"/>
    <s v="OUT027"/>
    <x v="1"/>
    <x v="0"/>
    <x v="3"/>
    <n v="0"/>
    <n v="0"/>
    <n v="87.685599999999994"/>
    <n v="4"/>
  </r>
  <r>
    <x v="1"/>
    <n v="8249"/>
    <s v="FDU08"/>
    <x v="0"/>
    <x v="7"/>
    <s v="OUT027"/>
    <x v="1"/>
    <x v="0"/>
    <x v="3"/>
    <n v="2.7183141000000001E-2"/>
    <n v="0"/>
    <n v="99.7042"/>
    <n v="4"/>
  </r>
  <r>
    <x v="1"/>
    <n v="8250"/>
    <s v="NCP29"/>
    <x v="1"/>
    <x v="7"/>
    <s v="OUT027"/>
    <x v="1"/>
    <x v="0"/>
    <x v="3"/>
    <n v="0"/>
    <n v="0"/>
    <n v="64.216800000000006"/>
    <n v="4"/>
  </r>
  <r>
    <x v="1"/>
    <n v="8251"/>
    <s v="NCS29"/>
    <x v="1"/>
    <x v="7"/>
    <s v="OUT027"/>
    <x v="1"/>
    <x v="0"/>
    <x v="3"/>
    <n v="6.9208684000000006E-2"/>
    <n v="0"/>
    <n v="264.08839999999998"/>
    <n v="4"/>
  </r>
  <r>
    <x v="1"/>
    <n v="8252"/>
    <s v="NCE43"/>
    <x v="5"/>
    <x v="7"/>
    <s v="OUT027"/>
    <x v="1"/>
    <x v="0"/>
    <x v="3"/>
    <n v="0.102941345"/>
    <n v="0"/>
    <n v="171.2448"/>
    <n v="4"/>
  </r>
  <r>
    <x v="1"/>
    <n v="8253"/>
    <s v="NCJ30"/>
    <x v="5"/>
    <x v="7"/>
    <s v="OUT027"/>
    <x v="1"/>
    <x v="0"/>
    <x v="3"/>
    <n v="8.0249973000000002E-2"/>
    <n v="0"/>
    <n v="168.679"/>
    <n v="4"/>
  </r>
  <r>
    <x v="1"/>
    <n v="8254"/>
    <s v="NCY06"/>
    <x v="5"/>
    <x v="7"/>
    <s v="OUT027"/>
    <x v="1"/>
    <x v="0"/>
    <x v="3"/>
    <n v="6.0888513999999998E-2"/>
    <n v="0"/>
    <n v="130.1968"/>
    <n v="4"/>
  </r>
  <r>
    <x v="1"/>
    <n v="8255"/>
    <s v="FDS51"/>
    <x v="7"/>
    <x v="7"/>
    <s v="OUT027"/>
    <x v="1"/>
    <x v="0"/>
    <x v="3"/>
    <n v="3.2024658999999997E-2"/>
    <n v="0"/>
    <n v="62.7194"/>
    <n v="4"/>
  </r>
  <r>
    <x v="1"/>
    <n v="8256"/>
    <s v="NCJ31"/>
    <x v="10"/>
    <x v="7"/>
    <s v="OUT027"/>
    <x v="1"/>
    <x v="0"/>
    <x v="3"/>
    <n v="0.18176926400000001"/>
    <n v="0"/>
    <n v="240.61959999999999"/>
    <n v="4"/>
  </r>
  <r>
    <x v="1"/>
    <n v="8257"/>
    <s v="FDA57"/>
    <x v="6"/>
    <x v="7"/>
    <s v="OUT027"/>
    <x v="1"/>
    <x v="0"/>
    <x v="3"/>
    <n v="3.9451624999999997E-2"/>
    <n v="0"/>
    <n v="39.548000000000002"/>
    <n v="4"/>
  </r>
  <r>
    <x v="1"/>
    <n v="8258"/>
    <s v="FDU34"/>
    <x v="6"/>
    <x v="7"/>
    <s v="OUT027"/>
    <x v="1"/>
    <x v="0"/>
    <x v="3"/>
    <n v="7.4830794000000006E-2"/>
    <n v="0"/>
    <n v="125.9046"/>
    <n v="4"/>
  </r>
  <r>
    <x v="1"/>
    <n v="8259"/>
    <s v="DRG36"/>
    <x v="4"/>
    <x v="7"/>
    <s v="OUT027"/>
    <x v="1"/>
    <x v="0"/>
    <x v="3"/>
    <n v="9.4916346999999998E-2"/>
    <n v="0"/>
    <n v="172.31059999999999"/>
    <n v="4"/>
  </r>
  <r>
    <x v="1"/>
    <n v="8260"/>
    <s v="DRM37"/>
    <x v="4"/>
    <x v="7"/>
    <s v="OUT027"/>
    <x v="1"/>
    <x v="0"/>
    <x v="3"/>
    <n v="9.5931002000000001E-2"/>
    <n v="0"/>
    <n v="198.57679999999999"/>
    <n v="4"/>
  </r>
  <r>
    <x v="1"/>
    <n v="8261"/>
    <s v="FDF12"/>
    <x v="13"/>
    <x v="7"/>
    <s v="OUT027"/>
    <x v="1"/>
    <x v="0"/>
    <x v="3"/>
    <n v="8.2028693999999999E-2"/>
    <n v="0"/>
    <n v="148.60759999999999"/>
    <n v="4"/>
  </r>
  <r>
    <x v="1"/>
    <n v="8262"/>
    <s v="FDG60"/>
    <x v="13"/>
    <x v="7"/>
    <s v="OUT027"/>
    <x v="1"/>
    <x v="0"/>
    <x v="3"/>
    <n v="6.0405783999999997E-2"/>
    <n v="0"/>
    <n v="234.5616"/>
    <n v="4"/>
  </r>
  <r>
    <x v="1"/>
    <n v="8263"/>
    <s v="FDL36"/>
    <x v="13"/>
    <x v="7"/>
    <s v="OUT027"/>
    <x v="1"/>
    <x v="0"/>
    <x v="3"/>
    <n v="7.5707087000000006E-2"/>
    <n v="0"/>
    <n v="88.183000000000007"/>
    <n v="4"/>
  </r>
  <r>
    <x v="1"/>
    <n v="8264"/>
    <s v="FDP24"/>
    <x v="13"/>
    <x v="7"/>
    <s v="OUT027"/>
    <x v="1"/>
    <x v="0"/>
    <x v="3"/>
    <n v="8.2602126999999997E-2"/>
    <n v="0"/>
    <n v="120.9756"/>
    <n v="4"/>
  </r>
  <r>
    <x v="1"/>
    <n v="8265"/>
    <s v="FDQ12"/>
    <x v="13"/>
    <x v="7"/>
    <s v="OUT027"/>
    <x v="1"/>
    <x v="0"/>
    <x v="3"/>
    <n v="3.5239270000000003E-2"/>
    <n v="0"/>
    <n v="231.601"/>
    <n v="4"/>
  </r>
  <r>
    <x v="1"/>
    <n v="8266"/>
    <s v="FDR60"/>
    <x v="13"/>
    <x v="7"/>
    <s v="OUT027"/>
    <x v="1"/>
    <x v="0"/>
    <x v="3"/>
    <n v="0.12978357700000001"/>
    <n v="0"/>
    <n v="78.232799999999997"/>
    <n v="4"/>
  </r>
  <r>
    <x v="1"/>
    <n v="8267"/>
    <s v="FDU36"/>
    <x v="13"/>
    <x v="7"/>
    <s v="OUT027"/>
    <x v="1"/>
    <x v="0"/>
    <x v="3"/>
    <n v="0"/>
    <n v="0"/>
    <n v="100.1384"/>
    <n v="4"/>
  </r>
  <r>
    <x v="1"/>
    <n v="8268"/>
    <s v="FDY36"/>
    <x v="13"/>
    <x v="7"/>
    <s v="OUT027"/>
    <x v="1"/>
    <x v="0"/>
    <x v="3"/>
    <n v="9.3649570000000001E-3"/>
    <n v="0"/>
    <n v="74.238"/>
    <n v="4"/>
  </r>
  <r>
    <x v="1"/>
    <n v="8269"/>
    <s v="FDR47"/>
    <x v="8"/>
    <x v="7"/>
    <s v="OUT027"/>
    <x v="1"/>
    <x v="0"/>
    <x v="3"/>
    <n v="8.7045085999999994E-2"/>
    <n v="0"/>
    <n v="196.77940000000001"/>
    <n v="4"/>
  </r>
  <r>
    <x v="1"/>
    <n v="8270"/>
    <s v="FDT59"/>
    <x v="8"/>
    <x v="7"/>
    <s v="OUT027"/>
    <x v="1"/>
    <x v="0"/>
    <x v="3"/>
    <n v="1.5834379999999999E-2"/>
    <n v="0"/>
    <n v="228.5668"/>
    <n v="4"/>
  </r>
  <r>
    <x v="1"/>
    <n v="8271"/>
    <s v="FDW11"/>
    <x v="8"/>
    <x v="7"/>
    <s v="OUT027"/>
    <x v="1"/>
    <x v="0"/>
    <x v="3"/>
    <n v="4.8545853E-2"/>
    <n v="0"/>
    <n v="60.119399999999999"/>
    <n v="4"/>
  </r>
  <r>
    <x v="1"/>
    <n v="8272"/>
    <s v="FDQ37"/>
    <x v="12"/>
    <x v="7"/>
    <s v="OUT027"/>
    <x v="1"/>
    <x v="0"/>
    <x v="3"/>
    <n v="8.8828418000000006E-2"/>
    <n v="0"/>
    <n v="192.24780000000001"/>
    <n v="4"/>
  </r>
  <r>
    <x v="1"/>
    <n v="8273"/>
    <s v="FDA49"/>
    <x v="3"/>
    <x v="7"/>
    <s v="OUT027"/>
    <x v="1"/>
    <x v="0"/>
    <x v="3"/>
    <n v="6.4607377999999993E-2"/>
    <n v="0"/>
    <n v="87.419799999999995"/>
    <n v="4"/>
  </r>
  <r>
    <x v="1"/>
    <n v="8274"/>
    <s v="FDE02"/>
    <x v="3"/>
    <x v="7"/>
    <s v="OUT027"/>
    <x v="1"/>
    <x v="0"/>
    <x v="3"/>
    <n v="0.120663214"/>
    <n v="0"/>
    <n v="95.677800000000005"/>
    <n v="4"/>
  </r>
  <r>
    <x v="1"/>
    <n v="8275"/>
    <s v="FDI26"/>
    <x v="3"/>
    <x v="7"/>
    <s v="OUT027"/>
    <x v="1"/>
    <x v="0"/>
    <x v="3"/>
    <n v="3.4717799000000001E-2"/>
    <n v="0"/>
    <n v="179.43440000000001"/>
    <n v="4"/>
  </r>
  <r>
    <x v="1"/>
    <n v="8276"/>
    <s v="FDL26"/>
    <x v="3"/>
    <x v="7"/>
    <s v="OUT027"/>
    <x v="1"/>
    <x v="0"/>
    <x v="3"/>
    <n v="7.2838380999999994E-2"/>
    <n v="0"/>
    <n v="155.2972"/>
    <n v="4"/>
  </r>
  <r>
    <x v="1"/>
    <n v="8277"/>
    <s v="FDO25"/>
    <x v="3"/>
    <x v="7"/>
    <s v="OUT027"/>
    <x v="1"/>
    <x v="0"/>
    <x v="3"/>
    <n v="0.12683185399999999"/>
    <n v="0"/>
    <n v="209.02699999999999"/>
    <n v="4"/>
  </r>
  <r>
    <x v="1"/>
    <n v="8278"/>
    <s v="FDQ13"/>
    <x v="3"/>
    <x v="7"/>
    <s v="OUT027"/>
    <x v="1"/>
    <x v="0"/>
    <x v="3"/>
    <n v="1.0590074999999999E-2"/>
    <n v="0"/>
    <n v="84.690799999999996"/>
    <n v="4"/>
  </r>
  <r>
    <x v="1"/>
    <n v="8279"/>
    <s v="FDT49"/>
    <x v="3"/>
    <x v="7"/>
    <s v="OUT027"/>
    <x v="1"/>
    <x v="0"/>
    <x v="3"/>
    <n v="0.15067239900000001"/>
    <n v="0"/>
    <n v="104.72799999999999"/>
    <n v="4"/>
  </r>
  <r>
    <x v="1"/>
    <n v="8280"/>
    <s v="FDW25"/>
    <x v="3"/>
    <x v="7"/>
    <s v="OUT027"/>
    <x v="1"/>
    <x v="0"/>
    <x v="3"/>
    <n v="3.7217846999999998E-2"/>
    <n v="0"/>
    <n v="86.822400000000002"/>
    <n v="4"/>
  </r>
  <r>
    <x v="1"/>
    <n v="8281"/>
    <s v="FDW37"/>
    <x v="3"/>
    <x v="7"/>
    <s v="OUT027"/>
    <x v="1"/>
    <x v="0"/>
    <x v="3"/>
    <n v="0.123449671"/>
    <n v="0"/>
    <n v="89.748800000000003"/>
    <n v="4"/>
  </r>
  <r>
    <x v="1"/>
    <n v="8282"/>
    <s v="FDX01"/>
    <x v="3"/>
    <x v="7"/>
    <s v="OUT027"/>
    <x v="1"/>
    <x v="0"/>
    <x v="3"/>
    <n v="2.4047319000000001E-2"/>
    <n v="0"/>
    <n v="115.515"/>
    <n v="4"/>
  </r>
  <r>
    <x v="1"/>
    <n v="8283"/>
    <s v="FDX37"/>
    <x v="3"/>
    <x v="7"/>
    <s v="OUT027"/>
    <x v="1"/>
    <x v="0"/>
    <x v="3"/>
    <n v="6.2724116999999996E-2"/>
    <n v="0"/>
    <n v="100.57"/>
    <n v="4"/>
  </r>
  <r>
    <x v="1"/>
    <n v="8284"/>
    <s v="DRF03"/>
    <x v="11"/>
    <x v="7"/>
    <s v="OUT027"/>
    <x v="1"/>
    <x v="0"/>
    <x v="3"/>
    <n v="4.5088723999999997E-2"/>
    <n v="0"/>
    <n v="39.713799999999999"/>
    <n v="4"/>
  </r>
  <r>
    <x v="1"/>
    <n v="8285"/>
    <s v="DRH39"/>
    <x v="11"/>
    <x v="7"/>
    <s v="OUT027"/>
    <x v="1"/>
    <x v="0"/>
    <x v="3"/>
    <n v="9.2241348000000001E-2"/>
    <n v="0"/>
    <n v="75.867000000000004"/>
    <n v="4"/>
  </r>
  <r>
    <x v="1"/>
    <n v="8286"/>
    <s v="DRJ39"/>
    <x v="11"/>
    <x v="7"/>
    <s v="OUT027"/>
    <x v="1"/>
    <x v="0"/>
    <x v="3"/>
    <n v="3.6150152999999997E-2"/>
    <n v="0"/>
    <n v="219.54820000000001"/>
    <n v="4"/>
  </r>
  <r>
    <x v="1"/>
    <n v="8287"/>
    <s v="FDA15"/>
    <x v="11"/>
    <x v="7"/>
    <s v="OUT027"/>
    <x v="1"/>
    <x v="0"/>
    <x v="3"/>
    <n v="1.5944801000000002E-2"/>
    <n v="0"/>
    <n v="249.50919999999999"/>
    <n v="4"/>
  </r>
  <r>
    <x v="1"/>
    <n v="8288"/>
    <s v="FDM39"/>
    <x v="11"/>
    <x v="7"/>
    <s v="OUT027"/>
    <x v="1"/>
    <x v="0"/>
    <x v="3"/>
    <n v="5.3211728E-2"/>
    <n v="0"/>
    <n v="177.6002"/>
    <n v="4"/>
  </r>
  <r>
    <x v="1"/>
    <n v="8289"/>
    <s v="FDV38"/>
    <x v="11"/>
    <x v="7"/>
    <s v="OUT027"/>
    <x v="1"/>
    <x v="0"/>
    <x v="3"/>
    <n v="0.101281"/>
    <n v="0"/>
    <n v="55.095599999999997"/>
    <n v="4"/>
  </r>
  <r>
    <x v="1"/>
    <n v="8290"/>
    <s v="FDX26"/>
    <x v="11"/>
    <x v="7"/>
    <s v="OUT027"/>
    <x v="1"/>
    <x v="0"/>
    <x v="3"/>
    <n v="8.7383303999999995E-2"/>
    <n v="0"/>
    <n v="180.42920000000001"/>
    <n v="4"/>
  </r>
  <r>
    <x v="1"/>
    <n v="8291"/>
    <s v="FDX50"/>
    <x v="11"/>
    <x v="7"/>
    <s v="OUT027"/>
    <x v="1"/>
    <x v="0"/>
    <x v="3"/>
    <n v="7.4265815999999998E-2"/>
    <n v="0"/>
    <n v="109.5228"/>
    <n v="4"/>
  </r>
  <r>
    <x v="1"/>
    <n v="8292"/>
    <s v="FDY27"/>
    <x v="11"/>
    <x v="7"/>
    <s v="OUT027"/>
    <x v="1"/>
    <x v="0"/>
    <x v="3"/>
    <n v="3.1743707000000003E-2"/>
    <n v="0"/>
    <n v="179.1344"/>
    <n v="4"/>
  </r>
  <r>
    <x v="1"/>
    <n v="8293"/>
    <s v="FDZ15"/>
    <x v="11"/>
    <x v="7"/>
    <s v="OUT027"/>
    <x v="1"/>
    <x v="0"/>
    <x v="3"/>
    <n v="2.0769677E-2"/>
    <n v="0"/>
    <n v="117.5782"/>
    <n v="4"/>
  </r>
  <r>
    <x v="1"/>
    <n v="8294"/>
    <s v="FDC28"/>
    <x v="2"/>
    <x v="7"/>
    <s v="OUT027"/>
    <x v="1"/>
    <x v="0"/>
    <x v="3"/>
    <n v="5.4720642E-2"/>
    <n v="0"/>
    <n v="107.8254"/>
    <n v="4"/>
  </r>
  <r>
    <x v="1"/>
    <n v="8295"/>
    <s v="FDC41"/>
    <x v="2"/>
    <x v="7"/>
    <s v="OUT027"/>
    <x v="1"/>
    <x v="0"/>
    <x v="3"/>
    <n v="0.116347087"/>
    <n v="0"/>
    <n v="76.867000000000004"/>
    <n v="4"/>
  </r>
  <r>
    <x v="1"/>
    <n v="8296"/>
    <s v="FDD53"/>
    <x v="2"/>
    <x v="7"/>
    <s v="OUT027"/>
    <x v="1"/>
    <x v="0"/>
    <x v="3"/>
    <n v="4.4008347000000003E-2"/>
    <n v="0"/>
    <n v="43.745399999999997"/>
    <n v="4"/>
  </r>
  <r>
    <x v="1"/>
    <n v="8297"/>
    <s v="FDE16"/>
    <x v="2"/>
    <x v="7"/>
    <s v="OUT027"/>
    <x v="1"/>
    <x v="0"/>
    <x v="3"/>
    <n v="2.6216144E-2"/>
    <n v="0"/>
    <n v="207.59540000000001"/>
    <n v="4"/>
  </r>
  <r>
    <x v="1"/>
    <n v="8298"/>
    <s v="FDE29"/>
    <x v="2"/>
    <x v="7"/>
    <s v="OUT027"/>
    <x v="1"/>
    <x v="0"/>
    <x v="3"/>
    <n v="0.142436015"/>
    <n v="0"/>
    <n v="62.387799999999999"/>
    <n v="4"/>
  </r>
  <r>
    <x v="1"/>
    <n v="8299"/>
    <s v="FDF05"/>
    <x v="2"/>
    <x v="7"/>
    <s v="OUT027"/>
    <x v="1"/>
    <x v="0"/>
    <x v="3"/>
    <n v="2.6740766999999999E-2"/>
    <n v="0"/>
    <n v="261.291"/>
    <n v="4"/>
  </r>
  <r>
    <x v="1"/>
    <n v="8300"/>
    <s v="FDF41"/>
    <x v="2"/>
    <x v="7"/>
    <s v="OUT027"/>
    <x v="1"/>
    <x v="0"/>
    <x v="3"/>
    <n v="0.130544568"/>
    <n v="0"/>
    <n v="248.04599999999999"/>
    <n v="4"/>
  </r>
  <r>
    <x v="1"/>
    <n v="8301"/>
    <s v="FDG40"/>
    <x v="2"/>
    <x v="7"/>
    <s v="OUT027"/>
    <x v="1"/>
    <x v="0"/>
    <x v="3"/>
    <n v="3.9631495000000003E-2"/>
    <n v="0"/>
    <n v="31.9558"/>
    <n v="4"/>
  </r>
  <r>
    <x v="1"/>
    <n v="8302"/>
    <s v="FDJ28"/>
    <x v="2"/>
    <x v="7"/>
    <s v="OUT027"/>
    <x v="1"/>
    <x v="0"/>
    <x v="3"/>
    <n v="0"/>
    <n v="0"/>
    <n v="190.9162"/>
    <n v="4"/>
  </r>
  <r>
    <x v="1"/>
    <n v="8303"/>
    <s v="FDJ53"/>
    <x v="2"/>
    <x v="7"/>
    <s v="OUT027"/>
    <x v="1"/>
    <x v="0"/>
    <x v="3"/>
    <n v="7.0912843000000003E-2"/>
    <n v="0"/>
    <n v="121.5098"/>
    <n v="4"/>
  </r>
  <r>
    <x v="1"/>
    <n v="8304"/>
    <s v="FDK04"/>
    <x v="2"/>
    <x v="7"/>
    <s v="OUT027"/>
    <x v="1"/>
    <x v="0"/>
    <x v="3"/>
    <n v="5.2058711000000001E-2"/>
    <n v="0"/>
    <n v="55.558799999999998"/>
    <n v="4"/>
  </r>
  <r>
    <x v="1"/>
    <n v="8305"/>
    <s v="FDK16"/>
    <x v="2"/>
    <x v="7"/>
    <s v="OUT027"/>
    <x v="1"/>
    <x v="0"/>
    <x v="3"/>
    <n v="0.11477129799999999"/>
    <n v="0"/>
    <n v="93.909400000000005"/>
    <n v="4"/>
  </r>
  <r>
    <x v="1"/>
    <n v="8306"/>
    <s v="FDK40"/>
    <x v="2"/>
    <x v="7"/>
    <s v="OUT027"/>
    <x v="1"/>
    <x v="0"/>
    <x v="3"/>
    <n v="2.1743591999999999E-2"/>
    <n v="0"/>
    <n v="263.19099999999997"/>
    <n v="4"/>
  </r>
  <r>
    <x v="1"/>
    <n v="8307"/>
    <s v="FDL40"/>
    <x v="2"/>
    <x v="7"/>
    <s v="OUT027"/>
    <x v="1"/>
    <x v="0"/>
    <x v="3"/>
    <n v="1.1556919000000001E-2"/>
    <n v="0"/>
    <n v="94.741"/>
    <n v="4"/>
  </r>
  <r>
    <x v="1"/>
    <n v="8308"/>
    <s v="FDO28"/>
    <x v="2"/>
    <x v="7"/>
    <s v="OUT027"/>
    <x v="1"/>
    <x v="0"/>
    <x v="3"/>
    <n v="7.1948252000000004E-2"/>
    <n v="0"/>
    <n v="121.60980000000001"/>
    <n v="4"/>
  </r>
  <r>
    <x v="1"/>
    <n v="8309"/>
    <s v="FDP04"/>
    <x v="2"/>
    <x v="7"/>
    <s v="OUT027"/>
    <x v="1"/>
    <x v="0"/>
    <x v="3"/>
    <n v="1.3745883E-2"/>
    <n v="0"/>
    <n v="62.016800000000003"/>
    <n v="4"/>
  </r>
  <r>
    <x v="1"/>
    <n v="8310"/>
    <s v="FDQ52"/>
    <x v="2"/>
    <x v="7"/>
    <s v="OUT027"/>
    <x v="1"/>
    <x v="0"/>
    <x v="3"/>
    <n v="0.118806857"/>
    <n v="0"/>
    <n v="248.8434"/>
    <n v="4"/>
  </r>
  <r>
    <x v="1"/>
    <n v="8311"/>
    <s v="FDS40"/>
    <x v="2"/>
    <x v="7"/>
    <s v="OUT027"/>
    <x v="1"/>
    <x v="0"/>
    <x v="3"/>
    <n v="1.3951504E-2"/>
    <n v="0"/>
    <n v="36.719000000000001"/>
    <n v="4"/>
  </r>
  <r>
    <x v="1"/>
    <n v="8312"/>
    <s v="FDS52"/>
    <x v="2"/>
    <x v="7"/>
    <s v="OUT027"/>
    <x v="1"/>
    <x v="0"/>
    <x v="3"/>
    <n v="5.4480049999999997E-3"/>
    <n v="0"/>
    <n v="102.1016"/>
    <n v="4"/>
  </r>
  <r>
    <x v="1"/>
    <n v="8313"/>
    <s v="FDA43"/>
    <x v="0"/>
    <x v="7"/>
    <s v="OUT027"/>
    <x v="1"/>
    <x v="0"/>
    <x v="3"/>
    <n v="6.4362554000000002E-2"/>
    <n v="0"/>
    <n v="193.77940000000001"/>
    <n v="4"/>
  </r>
  <r>
    <x v="1"/>
    <n v="8314"/>
    <s v="FDA44"/>
    <x v="0"/>
    <x v="7"/>
    <s v="OUT027"/>
    <x v="1"/>
    <x v="0"/>
    <x v="3"/>
    <n v="5.2964982000000001E-2"/>
    <n v="0"/>
    <n v="57.792999999999999"/>
    <n v="4"/>
  </r>
  <r>
    <x v="1"/>
    <n v="8315"/>
    <s v="FDB21"/>
    <x v="0"/>
    <x v="7"/>
    <s v="OUT027"/>
    <x v="1"/>
    <x v="0"/>
    <x v="3"/>
    <n v="0"/>
    <n v="0"/>
    <n v="242.9854"/>
    <n v="4"/>
  </r>
  <r>
    <x v="1"/>
    <n v="8316"/>
    <s v="FDC45"/>
    <x v="0"/>
    <x v="7"/>
    <s v="OUT027"/>
    <x v="1"/>
    <x v="0"/>
    <x v="3"/>
    <n v="0.13507592400000001"/>
    <n v="0"/>
    <n v="170.31059999999999"/>
    <n v="4"/>
  </r>
  <r>
    <x v="1"/>
    <n v="8317"/>
    <s v="FDD09"/>
    <x v="0"/>
    <x v="7"/>
    <s v="OUT027"/>
    <x v="1"/>
    <x v="0"/>
    <x v="3"/>
    <n v="2.1392306E-2"/>
    <n v="0"/>
    <n v="182.0976"/>
    <n v="4"/>
  </r>
  <r>
    <x v="1"/>
    <n v="8318"/>
    <s v="FDE21"/>
    <x v="0"/>
    <x v="7"/>
    <s v="OUT027"/>
    <x v="1"/>
    <x v="0"/>
    <x v="3"/>
    <n v="0"/>
    <n v="0"/>
    <n v="115.3492"/>
    <n v="4"/>
  </r>
  <r>
    <x v="1"/>
    <n v="8319"/>
    <s v="FDF20"/>
    <x v="0"/>
    <x v="7"/>
    <s v="OUT027"/>
    <x v="1"/>
    <x v="0"/>
    <x v="3"/>
    <n v="3.3059299E-2"/>
    <n v="0"/>
    <n v="196.4768"/>
    <n v="4"/>
  </r>
  <r>
    <x v="1"/>
    <n v="8320"/>
    <s v="FDH57"/>
    <x v="0"/>
    <x v="7"/>
    <s v="OUT027"/>
    <x v="1"/>
    <x v="0"/>
    <x v="3"/>
    <n v="3.5574412999999999E-2"/>
    <n v="0"/>
    <n v="131.42840000000001"/>
    <n v="4"/>
  </r>
  <r>
    <x v="1"/>
    <n v="8321"/>
    <s v="FDI32"/>
    <x v="0"/>
    <x v="7"/>
    <s v="OUT027"/>
    <x v="1"/>
    <x v="0"/>
    <x v="3"/>
    <n v="0.173529036"/>
    <n v="0"/>
    <n v="113.2834"/>
    <n v="4"/>
  </r>
  <r>
    <x v="1"/>
    <n v="8322"/>
    <s v="FDI44"/>
    <x v="0"/>
    <x v="7"/>
    <s v="OUT027"/>
    <x v="1"/>
    <x v="0"/>
    <x v="3"/>
    <n v="9.9747487999999995E-2"/>
    <n v="0"/>
    <n v="75.232799999999997"/>
    <n v="4"/>
  </r>
  <r>
    <x v="1"/>
    <n v="8323"/>
    <s v="FDI56"/>
    <x v="0"/>
    <x v="7"/>
    <s v="OUT027"/>
    <x v="1"/>
    <x v="0"/>
    <x v="3"/>
    <n v="9.2933158000000002E-2"/>
    <n v="0"/>
    <n v="91.014600000000002"/>
    <n v="4"/>
  </r>
  <r>
    <x v="1"/>
    <n v="8324"/>
    <s v="FDK44"/>
    <x v="0"/>
    <x v="7"/>
    <s v="OUT027"/>
    <x v="1"/>
    <x v="0"/>
    <x v="3"/>
    <n v="0.121635591"/>
    <n v="0"/>
    <n v="175.47380000000001"/>
    <n v="4"/>
  </r>
  <r>
    <x v="1"/>
    <n v="8325"/>
    <s v="FDL56"/>
    <x v="0"/>
    <x v="7"/>
    <s v="OUT027"/>
    <x v="1"/>
    <x v="0"/>
    <x v="3"/>
    <n v="0.12517151000000001"/>
    <n v="0"/>
    <n v="88.919799999999995"/>
    <n v="4"/>
  </r>
  <r>
    <x v="1"/>
    <n v="8326"/>
    <s v="FDN44"/>
    <x v="0"/>
    <x v="7"/>
    <s v="OUT027"/>
    <x v="1"/>
    <x v="0"/>
    <x v="3"/>
    <n v="2.2685222000000001E-2"/>
    <n v="0"/>
    <n v="161.59200000000001"/>
    <n v="4"/>
  </r>
  <r>
    <x v="1"/>
    <n v="8327"/>
    <s v="FDS55"/>
    <x v="0"/>
    <x v="7"/>
    <s v="OUT027"/>
    <x v="1"/>
    <x v="0"/>
    <x v="3"/>
    <n v="8.0771137000000007E-2"/>
    <n v="0"/>
    <n v="146.4734"/>
    <n v="4"/>
  </r>
  <r>
    <x v="1"/>
    <n v="8328"/>
    <s v="FDU55"/>
    <x v="0"/>
    <x v="7"/>
    <s v="OUT027"/>
    <x v="1"/>
    <x v="0"/>
    <x v="3"/>
    <n v="3.5737373000000003E-2"/>
    <n v="0"/>
    <n v="260.62779999999998"/>
    <n v="4"/>
  </r>
  <r>
    <x v="1"/>
    <n v="8329"/>
    <s v="FDV08"/>
    <x v="0"/>
    <x v="7"/>
    <s v="OUT027"/>
    <x v="1"/>
    <x v="0"/>
    <x v="3"/>
    <n v="2.8456456000000001E-2"/>
    <n v="0"/>
    <n v="43.545400000000001"/>
    <n v="4"/>
  </r>
  <r>
    <x v="1"/>
    <n v="8330"/>
    <s v="FDW56"/>
    <x v="0"/>
    <x v="7"/>
    <s v="OUT027"/>
    <x v="1"/>
    <x v="0"/>
    <x v="3"/>
    <n v="7.0556944999999996E-2"/>
    <n v="0"/>
    <n v="191.21619999999999"/>
    <n v="4"/>
  </r>
  <r>
    <x v="1"/>
    <n v="8331"/>
    <s v="FDX20"/>
    <x v="0"/>
    <x v="7"/>
    <s v="OUT027"/>
    <x v="1"/>
    <x v="0"/>
    <x v="3"/>
    <n v="4.2354151999999999E-2"/>
    <n v="0"/>
    <n v="227.27199999999999"/>
    <n v="4"/>
  </r>
  <r>
    <x v="1"/>
    <n v="8332"/>
    <s v="FDX44"/>
    <x v="0"/>
    <x v="7"/>
    <s v="OUT027"/>
    <x v="1"/>
    <x v="0"/>
    <x v="3"/>
    <n v="4.2758477000000003E-2"/>
    <n v="0"/>
    <n v="88.417199999999994"/>
    <n v="4"/>
  </r>
  <r>
    <x v="1"/>
    <n v="8333"/>
    <s v="FDZ19"/>
    <x v="0"/>
    <x v="7"/>
    <s v="OUT027"/>
    <x v="1"/>
    <x v="0"/>
    <x v="3"/>
    <n v="9.3002339000000003E-2"/>
    <n v="0"/>
    <n v="177.77119999999999"/>
    <n v="4"/>
  </r>
  <r>
    <x v="1"/>
    <n v="8334"/>
    <s v="FDZ55"/>
    <x v="0"/>
    <x v="7"/>
    <s v="OUT027"/>
    <x v="1"/>
    <x v="0"/>
    <x v="3"/>
    <n v="2.5285660000000001E-2"/>
    <n v="0"/>
    <n v="158.792"/>
    <n v="4"/>
  </r>
  <r>
    <x v="1"/>
    <n v="8335"/>
    <s v="DRH11"/>
    <x v="9"/>
    <x v="7"/>
    <s v="OUT027"/>
    <x v="1"/>
    <x v="0"/>
    <x v="3"/>
    <n v="7.5192071999999999E-2"/>
    <n v="0"/>
    <n v="56.061399999999999"/>
    <n v="4"/>
  </r>
  <r>
    <x v="1"/>
    <n v="8336"/>
    <s v="DRI59"/>
    <x v="9"/>
    <x v="7"/>
    <s v="OUT027"/>
    <x v="1"/>
    <x v="0"/>
    <x v="3"/>
    <n v="4.0636925999999997E-2"/>
    <n v="0"/>
    <n v="224.6088"/>
    <n v="4"/>
  </r>
  <r>
    <x v="1"/>
    <n v="8337"/>
    <s v="DRK35"/>
    <x v="9"/>
    <x v="7"/>
    <s v="OUT027"/>
    <x v="1"/>
    <x v="0"/>
    <x v="3"/>
    <n v="7.1498574999999995E-2"/>
    <n v="0"/>
    <n v="37.750599999999999"/>
    <n v="4"/>
  </r>
  <r>
    <x v="1"/>
    <n v="8338"/>
    <s v="NCD42"/>
    <x v="1"/>
    <x v="7"/>
    <s v="OUT027"/>
    <x v="1"/>
    <x v="0"/>
    <x v="3"/>
    <n v="0"/>
    <n v="0"/>
    <n v="37.3506"/>
    <n v="4"/>
  </r>
  <r>
    <x v="1"/>
    <n v="8339"/>
    <s v="NCK53"/>
    <x v="1"/>
    <x v="7"/>
    <s v="OUT027"/>
    <x v="1"/>
    <x v="0"/>
    <x v="3"/>
    <n v="0"/>
    <n v="0"/>
    <n v="100.80419999999999"/>
    <n v="4"/>
  </r>
  <r>
    <x v="1"/>
    <n v="8340"/>
    <s v="NCL05"/>
    <x v="1"/>
    <x v="7"/>
    <s v="OUT027"/>
    <x v="1"/>
    <x v="0"/>
    <x v="3"/>
    <n v="4.7665717000000003E-2"/>
    <n v="0"/>
    <n v="42.177"/>
    <n v="4"/>
  </r>
  <r>
    <x v="1"/>
    <n v="8341"/>
    <s v="NCM29"/>
    <x v="1"/>
    <x v="7"/>
    <s v="OUT027"/>
    <x v="1"/>
    <x v="0"/>
    <x v="3"/>
    <n v="1.7556795E-2"/>
    <n v="0"/>
    <n v="129.96260000000001"/>
    <n v="4"/>
  </r>
  <r>
    <x v="1"/>
    <n v="8342"/>
    <s v="NCP05"/>
    <x v="1"/>
    <x v="7"/>
    <s v="OUT027"/>
    <x v="1"/>
    <x v="0"/>
    <x v="3"/>
    <n v="2.5164131999999999E-2"/>
    <n v="0"/>
    <n v="152.60239999999999"/>
    <n v="4"/>
  </r>
  <r>
    <x v="1"/>
    <n v="8343"/>
    <s v="NCP53"/>
    <x v="1"/>
    <x v="7"/>
    <s v="OUT027"/>
    <x v="1"/>
    <x v="0"/>
    <x v="3"/>
    <n v="3.2731073999999999E-2"/>
    <n v="0"/>
    <n v="235.69059999999999"/>
    <n v="4"/>
  </r>
  <r>
    <x v="1"/>
    <n v="8344"/>
    <s v="NCQ05"/>
    <x v="1"/>
    <x v="7"/>
    <s v="OUT027"/>
    <x v="1"/>
    <x v="0"/>
    <x v="3"/>
    <n v="0"/>
    <n v="0"/>
    <n v="152.07079999999999"/>
    <n v="4"/>
  </r>
  <r>
    <x v="1"/>
    <n v="8345"/>
    <s v="NCR05"/>
    <x v="1"/>
    <x v="7"/>
    <s v="OUT027"/>
    <x v="1"/>
    <x v="0"/>
    <x v="3"/>
    <n v="5.4366282000000002E-2"/>
    <n v="0"/>
    <n v="199.60839999999999"/>
    <n v="4"/>
  </r>
  <r>
    <x v="1"/>
    <n v="8346"/>
    <s v="NCR17"/>
    <x v="1"/>
    <x v="7"/>
    <s v="OUT027"/>
    <x v="1"/>
    <x v="0"/>
    <x v="3"/>
    <n v="2.426524E-2"/>
    <n v="0"/>
    <n v="114.0492"/>
    <n v="4"/>
  </r>
  <r>
    <x v="1"/>
    <n v="8347"/>
    <s v="NCR29"/>
    <x v="1"/>
    <x v="7"/>
    <s v="OUT027"/>
    <x v="1"/>
    <x v="0"/>
    <x v="3"/>
    <n v="5.4376275000000002E-2"/>
    <n v="0"/>
    <n v="56.292999999999999"/>
    <n v="4"/>
  </r>
  <r>
    <x v="1"/>
    <n v="8348"/>
    <s v="NCR41"/>
    <x v="1"/>
    <x v="7"/>
    <s v="OUT027"/>
    <x v="1"/>
    <x v="0"/>
    <x v="3"/>
    <n v="1.7936714999999999E-2"/>
    <n v="0"/>
    <n v="93.709400000000002"/>
    <n v="4"/>
  </r>
  <r>
    <x v="1"/>
    <n v="8349"/>
    <s v="NCS17"/>
    <x v="1"/>
    <x v="7"/>
    <s v="OUT027"/>
    <x v="1"/>
    <x v="0"/>
    <x v="3"/>
    <n v="8.0111610999999999E-2"/>
    <n v="0"/>
    <n v="94.643600000000006"/>
    <n v="4"/>
  </r>
  <r>
    <x v="1"/>
    <n v="8350"/>
    <s v="NCS41"/>
    <x v="1"/>
    <x v="7"/>
    <s v="OUT027"/>
    <x v="1"/>
    <x v="0"/>
    <x v="3"/>
    <n v="5.3185207999999998E-2"/>
    <n v="0"/>
    <n v="182.96080000000001"/>
    <n v="4"/>
  </r>
  <r>
    <x v="1"/>
    <n v="8351"/>
    <s v="NCT17"/>
    <x v="1"/>
    <x v="7"/>
    <s v="OUT027"/>
    <x v="1"/>
    <x v="0"/>
    <x v="3"/>
    <n v="4.1663111000000003E-2"/>
    <n v="0"/>
    <n v="188.62139999999999"/>
    <n v="4"/>
  </r>
  <r>
    <x v="1"/>
    <n v="8352"/>
    <s v="NCW41"/>
    <x v="1"/>
    <x v="7"/>
    <s v="OUT027"/>
    <x v="1"/>
    <x v="0"/>
    <x v="3"/>
    <n v="1.5375557E-2"/>
    <n v="0"/>
    <n v="156.96039999999999"/>
    <n v="4"/>
  </r>
  <r>
    <x v="1"/>
    <n v="8353"/>
    <s v="NCX05"/>
    <x v="1"/>
    <x v="7"/>
    <s v="OUT027"/>
    <x v="1"/>
    <x v="0"/>
    <x v="3"/>
    <n v="9.6592065000000005E-2"/>
    <n v="0"/>
    <n v="117.4492"/>
    <n v="4"/>
  </r>
  <r>
    <x v="1"/>
    <n v="8354"/>
    <s v="NCB31"/>
    <x v="5"/>
    <x v="7"/>
    <s v="OUT027"/>
    <x v="1"/>
    <x v="0"/>
    <x v="3"/>
    <n v="0.118099673"/>
    <n v="0"/>
    <n v="262.89100000000002"/>
    <n v="4"/>
  </r>
  <r>
    <x v="1"/>
    <n v="8355"/>
    <s v="NCB43"/>
    <x v="5"/>
    <x v="7"/>
    <s v="OUT027"/>
    <x v="1"/>
    <x v="0"/>
    <x v="3"/>
    <n v="9.9428486999999996E-2"/>
    <n v="0"/>
    <n v="187.88980000000001"/>
    <n v="4"/>
  </r>
  <r>
    <x v="1"/>
    <n v="8356"/>
    <s v="NCC07"/>
    <x v="5"/>
    <x v="7"/>
    <s v="OUT027"/>
    <x v="1"/>
    <x v="0"/>
    <x v="3"/>
    <n v="2.3835163999999999E-2"/>
    <n v="0"/>
    <n v="103.3964"/>
    <n v="4"/>
  </r>
  <r>
    <x v="1"/>
    <n v="8357"/>
    <s v="NCD18"/>
    <x v="5"/>
    <x v="7"/>
    <s v="OUT027"/>
    <x v="1"/>
    <x v="0"/>
    <x v="3"/>
    <n v="7.2317217000000003E-2"/>
    <n v="0"/>
    <n v="230.26679999999999"/>
    <n v="4"/>
  </r>
  <r>
    <x v="1"/>
    <n v="8358"/>
    <s v="NCD31"/>
    <x v="5"/>
    <x v="7"/>
    <s v="OUT027"/>
    <x v="1"/>
    <x v="0"/>
    <x v="3"/>
    <n v="1.5359721999999999E-2"/>
    <n v="0"/>
    <n v="163.7526"/>
    <n v="4"/>
  </r>
  <r>
    <x v="1"/>
    <n v="8359"/>
    <s v="NCD54"/>
    <x v="5"/>
    <x v="7"/>
    <s v="OUT027"/>
    <x v="1"/>
    <x v="0"/>
    <x v="3"/>
    <n v="2.8868466999999998E-2"/>
    <n v="0"/>
    <n v="146.37860000000001"/>
    <n v="4"/>
  </r>
  <r>
    <x v="1"/>
    <n v="8360"/>
    <s v="NCE31"/>
    <x v="5"/>
    <x v="7"/>
    <s v="OUT027"/>
    <x v="1"/>
    <x v="0"/>
    <x v="3"/>
    <n v="0.18394846500000001"/>
    <n v="0"/>
    <n v="33.621600000000001"/>
    <n v="4"/>
  </r>
  <r>
    <x v="1"/>
    <n v="8361"/>
    <s v="NCF18"/>
    <x v="5"/>
    <x v="7"/>
    <s v="OUT027"/>
    <x v="1"/>
    <x v="0"/>
    <x v="3"/>
    <n v="8.8551694E-2"/>
    <n v="0"/>
    <n v="191.5504"/>
    <n v="4"/>
  </r>
  <r>
    <x v="1"/>
    <n v="8362"/>
    <s v="NCG06"/>
    <x v="5"/>
    <x v="7"/>
    <s v="OUT027"/>
    <x v="1"/>
    <x v="0"/>
    <x v="3"/>
    <n v="2.9302769999999999E-2"/>
    <n v="0"/>
    <n v="256.16460000000001"/>
    <n v="4"/>
  </r>
  <r>
    <x v="1"/>
    <n v="8363"/>
    <s v="NCH18"/>
    <x v="5"/>
    <x v="7"/>
    <s v="OUT027"/>
    <x v="1"/>
    <x v="0"/>
    <x v="3"/>
    <n v="4.4444956000000001E-2"/>
    <n v="0"/>
    <n v="245.28020000000001"/>
    <n v="4"/>
  </r>
  <r>
    <x v="1"/>
    <n v="8364"/>
    <s v="NCH30"/>
    <x v="5"/>
    <x v="7"/>
    <s v="OUT027"/>
    <x v="1"/>
    <x v="0"/>
    <x v="3"/>
    <n v="6.6828857000000005E-2"/>
    <n v="0"/>
    <n v="114.18600000000001"/>
    <n v="4"/>
  </r>
  <r>
    <x v="1"/>
    <n v="8365"/>
    <s v="NCH42"/>
    <x v="5"/>
    <x v="7"/>
    <s v="OUT027"/>
    <x v="1"/>
    <x v="0"/>
    <x v="3"/>
    <n v="3.6360386000000001E-2"/>
    <n v="0"/>
    <n v="231.601"/>
    <n v="4"/>
  </r>
  <r>
    <x v="1"/>
    <n v="8366"/>
    <s v="NCI54"/>
    <x v="5"/>
    <x v="7"/>
    <s v="OUT027"/>
    <x v="1"/>
    <x v="0"/>
    <x v="3"/>
    <n v="3.3436335999999997E-2"/>
    <n v="0"/>
    <n v="107.3912"/>
    <n v="4"/>
  </r>
  <r>
    <x v="1"/>
    <n v="8367"/>
    <s v="NCI55"/>
    <x v="5"/>
    <x v="7"/>
    <s v="OUT027"/>
    <x v="1"/>
    <x v="0"/>
    <x v="3"/>
    <n v="1.2592289E-2"/>
    <n v="0"/>
    <n v="123.34139999999999"/>
    <n v="4"/>
  </r>
  <r>
    <x v="1"/>
    <n v="8368"/>
    <s v="NCJ43"/>
    <x v="5"/>
    <x v="7"/>
    <s v="OUT027"/>
    <x v="1"/>
    <x v="0"/>
    <x v="3"/>
    <n v="2.6938317E-2"/>
    <n v="0"/>
    <n v="174.1396"/>
    <n v="4"/>
  </r>
  <r>
    <x v="1"/>
    <n v="8369"/>
    <s v="NCK42"/>
    <x v="5"/>
    <x v="7"/>
    <s v="OUT027"/>
    <x v="1"/>
    <x v="0"/>
    <x v="3"/>
    <n v="1.3056494E-2"/>
    <n v="0"/>
    <n v="215.91919999999999"/>
    <n v="4"/>
  </r>
  <r>
    <x v="1"/>
    <n v="8370"/>
    <s v="NCM06"/>
    <x v="5"/>
    <x v="7"/>
    <s v="OUT027"/>
    <x v="1"/>
    <x v="0"/>
    <x v="3"/>
    <n v="7.5361181999999999E-2"/>
    <n v="0"/>
    <n v="155.66560000000001"/>
    <n v="4"/>
  </r>
  <r>
    <x v="1"/>
    <n v="8371"/>
    <s v="NCM18"/>
    <x v="5"/>
    <x v="7"/>
    <s v="OUT027"/>
    <x v="1"/>
    <x v="0"/>
    <x v="3"/>
    <n v="8.2440705000000003E-2"/>
    <n v="0"/>
    <n v="61.319400000000002"/>
    <n v="4"/>
  </r>
  <r>
    <x v="1"/>
    <n v="8372"/>
    <s v="NCO42"/>
    <x v="5"/>
    <x v="7"/>
    <s v="OUT027"/>
    <x v="1"/>
    <x v="0"/>
    <x v="3"/>
    <n v="2.4536199000000002E-2"/>
    <n v="0"/>
    <n v="144.61019999999999"/>
    <n v="4"/>
  </r>
  <r>
    <x v="1"/>
    <n v="8373"/>
    <s v="NCQ06"/>
    <x v="5"/>
    <x v="7"/>
    <s v="OUT027"/>
    <x v="1"/>
    <x v="0"/>
    <x v="3"/>
    <n v="4.1621986999999999E-2"/>
    <n v="0"/>
    <n v="253.60140000000001"/>
    <n v="4"/>
  </r>
  <r>
    <x v="1"/>
    <n v="8374"/>
    <s v="NCS38"/>
    <x v="5"/>
    <x v="7"/>
    <s v="OUT027"/>
    <x v="1"/>
    <x v="0"/>
    <x v="3"/>
    <n v="0"/>
    <n v="0"/>
    <n v="115.2176"/>
    <n v="4"/>
  </r>
  <r>
    <x v="1"/>
    <n v="8375"/>
    <s v="NCS54"/>
    <x v="5"/>
    <x v="7"/>
    <s v="OUT027"/>
    <x v="1"/>
    <x v="0"/>
    <x v="3"/>
    <n v="9.9447700000000003E-3"/>
    <n v="0"/>
    <n v="177.83699999999999"/>
    <n v="4"/>
  </r>
  <r>
    <x v="1"/>
    <n v="8376"/>
    <s v="NCV06"/>
    <x v="5"/>
    <x v="7"/>
    <s v="OUT027"/>
    <x v="1"/>
    <x v="0"/>
    <x v="3"/>
    <n v="6.6358425999999998E-2"/>
    <n v="0"/>
    <n v="195.24780000000001"/>
    <n v="4"/>
  </r>
  <r>
    <x v="1"/>
    <n v="8377"/>
    <s v="NCW18"/>
    <x v="5"/>
    <x v="7"/>
    <s v="OUT027"/>
    <x v="1"/>
    <x v="0"/>
    <x v="3"/>
    <n v="5.9037538000000001E-2"/>
    <n v="0"/>
    <n v="237.72479999999999"/>
    <n v="4"/>
  </r>
  <r>
    <x v="1"/>
    <n v="8378"/>
    <s v="NCW42"/>
    <x v="5"/>
    <x v="7"/>
    <s v="OUT027"/>
    <x v="1"/>
    <x v="0"/>
    <x v="3"/>
    <n v="5.8185842000000002E-2"/>
    <n v="0"/>
    <n v="220.84559999999999"/>
    <n v="4"/>
  </r>
  <r>
    <x v="1"/>
    <n v="8379"/>
    <s v="NCX30"/>
    <x v="5"/>
    <x v="7"/>
    <s v="OUT027"/>
    <x v="1"/>
    <x v="0"/>
    <x v="3"/>
    <n v="2.6491714999999999E-2"/>
    <n v="0"/>
    <n v="247.27760000000001"/>
    <n v="4"/>
  </r>
  <r>
    <x v="1"/>
    <n v="8380"/>
    <s v="NCY18"/>
    <x v="5"/>
    <x v="7"/>
    <s v="OUT027"/>
    <x v="1"/>
    <x v="0"/>
    <x v="3"/>
    <n v="3.1000779999999999E-2"/>
    <n v="0"/>
    <n v="177.00540000000001"/>
    <n v="4"/>
  </r>
  <r>
    <x v="1"/>
    <n v="8381"/>
    <s v="NCY54"/>
    <x v="5"/>
    <x v="7"/>
    <s v="OUT027"/>
    <x v="1"/>
    <x v="0"/>
    <x v="3"/>
    <n v="0.176834351"/>
    <n v="0"/>
    <n v="172.1422"/>
    <n v="4"/>
  </r>
  <r>
    <x v="1"/>
    <n v="8382"/>
    <s v="FDJ07"/>
    <x v="7"/>
    <x v="7"/>
    <s v="OUT027"/>
    <x v="1"/>
    <x v="0"/>
    <x v="3"/>
    <n v="1.4353675999999999E-2"/>
    <n v="0"/>
    <n v="115.515"/>
    <n v="4"/>
  </r>
  <r>
    <x v="1"/>
    <n v="8383"/>
    <s v="FDN27"/>
    <x v="7"/>
    <x v="7"/>
    <s v="OUT027"/>
    <x v="1"/>
    <x v="0"/>
    <x v="3"/>
    <n v="3.9370913E-2"/>
    <n v="0"/>
    <n v="116.9808"/>
    <n v="4"/>
  </r>
  <r>
    <x v="1"/>
    <n v="8384"/>
    <s v="FDP39"/>
    <x v="7"/>
    <x v="7"/>
    <s v="OUT027"/>
    <x v="1"/>
    <x v="0"/>
    <x v="3"/>
    <n v="6.9088769999999994E-2"/>
    <n v="0"/>
    <n v="52.3324"/>
    <n v="4"/>
  </r>
  <r>
    <x v="1"/>
    <n v="8385"/>
    <s v="NCN43"/>
    <x v="10"/>
    <x v="7"/>
    <s v="OUT027"/>
    <x v="1"/>
    <x v="0"/>
    <x v="3"/>
    <n v="6.7270079999999996E-3"/>
    <n v="0"/>
    <n v="125.173"/>
    <n v="4"/>
  </r>
  <r>
    <x v="1"/>
    <n v="8386"/>
    <s v="NCP50"/>
    <x v="10"/>
    <x v="7"/>
    <s v="OUT027"/>
    <x v="1"/>
    <x v="0"/>
    <x v="3"/>
    <n v="2.0460283999999999E-2"/>
    <n v="0"/>
    <n v="81.761799999999994"/>
    <n v="4"/>
  </r>
  <r>
    <x v="1"/>
    <n v="8387"/>
    <s v="FDF33"/>
    <x v="14"/>
    <x v="7"/>
    <s v="OUT027"/>
    <x v="1"/>
    <x v="0"/>
    <x v="3"/>
    <n v="0"/>
    <n v="0"/>
    <n v="109.45959999999999"/>
    <n v="4"/>
  </r>
  <r>
    <x v="1"/>
    <n v="8388"/>
    <s v="FDA46"/>
    <x v="6"/>
    <x v="7"/>
    <s v="OUT027"/>
    <x v="1"/>
    <x v="0"/>
    <x v="3"/>
    <n v="0.117065801"/>
    <n v="0"/>
    <n v="196.11359999999999"/>
    <n v="4"/>
  </r>
  <r>
    <x v="1"/>
    <n v="8389"/>
    <s v="FDB22"/>
    <x v="6"/>
    <x v="7"/>
    <s v="OUT027"/>
    <x v="1"/>
    <x v="0"/>
    <x v="3"/>
    <n v="0.110901004"/>
    <n v="0"/>
    <n v="155.09979999999999"/>
    <n v="4"/>
  </r>
  <r>
    <x v="1"/>
    <n v="8390"/>
    <s v="FDF46"/>
    <x v="6"/>
    <x v="7"/>
    <s v="OUT027"/>
    <x v="1"/>
    <x v="0"/>
    <x v="3"/>
    <n v="9.3217569E-2"/>
    <n v="0"/>
    <n v="116.7834"/>
    <n v="4"/>
  </r>
  <r>
    <x v="1"/>
    <n v="8391"/>
    <s v="FDH33"/>
    <x v="6"/>
    <x v="7"/>
    <s v="OUT027"/>
    <x v="1"/>
    <x v="0"/>
    <x v="3"/>
    <n v="0"/>
    <n v="0"/>
    <n v="44.142800000000001"/>
    <n v="4"/>
  </r>
  <r>
    <x v="1"/>
    <n v="8392"/>
    <s v="FDI22"/>
    <x v="6"/>
    <x v="7"/>
    <s v="OUT027"/>
    <x v="1"/>
    <x v="0"/>
    <x v="3"/>
    <n v="9.5746519000000002E-2"/>
    <n v="0"/>
    <n v="208.66120000000001"/>
    <n v="4"/>
  </r>
  <r>
    <x v="1"/>
    <n v="8393"/>
    <s v="FDI33"/>
    <x v="6"/>
    <x v="7"/>
    <s v="OUT027"/>
    <x v="1"/>
    <x v="0"/>
    <x v="3"/>
    <n v="2.8281197000000001E-2"/>
    <n v="0"/>
    <n v="90.214600000000004"/>
    <n v="4"/>
  </r>
  <r>
    <x v="1"/>
    <n v="8394"/>
    <s v="FDJ22"/>
    <x v="6"/>
    <x v="7"/>
    <s v="OUT027"/>
    <x v="1"/>
    <x v="0"/>
    <x v="3"/>
    <n v="5.2554508E-2"/>
    <n v="0"/>
    <n v="190.35040000000001"/>
    <n v="4"/>
  </r>
  <r>
    <x v="1"/>
    <n v="8395"/>
    <s v="FDJ46"/>
    <x v="6"/>
    <x v="7"/>
    <s v="OUT027"/>
    <x v="1"/>
    <x v="0"/>
    <x v="3"/>
    <n v="4.4606379000000002E-2"/>
    <n v="0"/>
    <n v="174.2054"/>
    <n v="4"/>
  </r>
  <r>
    <x v="1"/>
    <n v="8396"/>
    <s v="FDK09"/>
    <x v="6"/>
    <x v="7"/>
    <s v="OUT027"/>
    <x v="1"/>
    <x v="0"/>
    <x v="3"/>
    <n v="9.1318935000000004E-2"/>
    <n v="0"/>
    <n v="230.73519999999999"/>
    <n v="4"/>
  </r>
  <r>
    <x v="1"/>
    <n v="8397"/>
    <s v="FDK22"/>
    <x v="6"/>
    <x v="7"/>
    <s v="OUT027"/>
    <x v="1"/>
    <x v="0"/>
    <x v="3"/>
    <n v="2.5960173999999999E-2"/>
    <n v="0"/>
    <n v="214.88499999999999"/>
    <n v="4"/>
  </r>
  <r>
    <x v="1"/>
    <n v="8398"/>
    <s v="FDL22"/>
    <x v="6"/>
    <x v="7"/>
    <s v="OUT027"/>
    <x v="1"/>
    <x v="0"/>
    <x v="3"/>
    <n v="3.6213953E-2"/>
    <n v="0"/>
    <n v="92.5488"/>
    <n v="4"/>
  </r>
  <r>
    <x v="1"/>
    <n v="8399"/>
    <s v="FDL34"/>
    <x v="6"/>
    <x v="7"/>
    <s v="OUT027"/>
    <x v="1"/>
    <x v="0"/>
    <x v="3"/>
    <n v="4.0747616E-2"/>
    <n v="0"/>
    <n v="140.24959999999999"/>
    <n v="4"/>
  </r>
  <r>
    <x v="1"/>
    <n v="8400"/>
    <s v="FDL45"/>
    <x v="6"/>
    <x v="7"/>
    <s v="OUT027"/>
    <x v="1"/>
    <x v="0"/>
    <x v="3"/>
    <n v="3.7505332000000002E-2"/>
    <n v="0"/>
    <n v="126.2704"/>
    <n v="4"/>
  </r>
  <r>
    <x v="1"/>
    <n v="8401"/>
    <s v="FDM46"/>
    <x v="6"/>
    <x v="7"/>
    <s v="OUT027"/>
    <x v="1"/>
    <x v="0"/>
    <x v="3"/>
    <n v="0.15919319400000001"/>
    <n v="0"/>
    <n v="92.712000000000003"/>
    <n v="4"/>
  </r>
  <r>
    <x v="1"/>
    <n v="8402"/>
    <s v="FDN10"/>
    <x v="6"/>
    <x v="7"/>
    <s v="OUT027"/>
    <x v="1"/>
    <x v="0"/>
    <x v="3"/>
    <n v="4.5900448000000003E-2"/>
    <n v="0"/>
    <n v="118.91240000000001"/>
    <n v="4"/>
  </r>
  <r>
    <x v="1"/>
    <n v="8403"/>
    <s v="FDQ09"/>
    <x v="6"/>
    <x v="7"/>
    <s v="OUT027"/>
    <x v="1"/>
    <x v="0"/>
    <x v="3"/>
    <n v="5.7850698999999998E-2"/>
    <n v="0"/>
    <n v="113.2834"/>
    <n v="4"/>
  </r>
  <r>
    <x v="1"/>
    <n v="8404"/>
    <s v="FDQ10"/>
    <x v="6"/>
    <x v="7"/>
    <s v="OUT027"/>
    <x v="1"/>
    <x v="0"/>
    <x v="3"/>
    <n v="3.3018559000000003E-2"/>
    <n v="0"/>
    <n v="170.44220000000001"/>
    <n v="4"/>
  </r>
  <r>
    <x v="1"/>
    <n v="8405"/>
    <s v="FDQ33"/>
    <x v="6"/>
    <x v="7"/>
    <s v="OUT027"/>
    <x v="1"/>
    <x v="0"/>
    <x v="3"/>
    <n v="0"/>
    <n v="0"/>
    <n v="151.67080000000001"/>
    <n v="4"/>
  </r>
  <r>
    <x v="1"/>
    <n v="8406"/>
    <s v="FDQ57"/>
    <x v="6"/>
    <x v="7"/>
    <s v="OUT027"/>
    <x v="1"/>
    <x v="0"/>
    <x v="3"/>
    <n v="2.7812303999999999E-2"/>
    <n v="0"/>
    <n v="147.476"/>
    <n v="4"/>
  </r>
  <r>
    <x v="1"/>
    <n v="8407"/>
    <s v="FDR09"/>
    <x v="6"/>
    <x v="7"/>
    <s v="OUT027"/>
    <x v="1"/>
    <x v="0"/>
    <x v="3"/>
    <n v="7.7348213999999998E-2"/>
    <n v="0"/>
    <n v="259.7962"/>
    <n v="4"/>
  </r>
  <r>
    <x v="1"/>
    <n v="8408"/>
    <s v="FDR46"/>
    <x v="6"/>
    <x v="7"/>
    <s v="OUT027"/>
    <x v="1"/>
    <x v="0"/>
    <x v="3"/>
    <n v="0.13874251800000001"/>
    <n v="0"/>
    <n v="147.476"/>
    <n v="4"/>
  </r>
  <r>
    <x v="1"/>
    <n v="8409"/>
    <s v="FDS57"/>
    <x v="6"/>
    <x v="7"/>
    <s v="OUT027"/>
    <x v="1"/>
    <x v="0"/>
    <x v="3"/>
    <n v="0.102941345"/>
    <n v="0"/>
    <n v="142.047"/>
    <n v="4"/>
  </r>
  <r>
    <x v="1"/>
    <n v="8410"/>
    <s v="FDT58"/>
    <x v="6"/>
    <x v="7"/>
    <s v="OUT027"/>
    <x v="1"/>
    <x v="0"/>
    <x v="3"/>
    <n v="8.5538477000000002E-2"/>
    <n v="0"/>
    <n v="169.2816"/>
    <n v="4"/>
  </r>
  <r>
    <x v="1"/>
    <n v="8411"/>
    <s v="FDX58"/>
    <x v="6"/>
    <x v="7"/>
    <s v="OUT027"/>
    <x v="1"/>
    <x v="0"/>
    <x v="3"/>
    <n v="4.3551752999999999E-2"/>
    <n v="0"/>
    <n v="184.495"/>
    <n v="4"/>
  </r>
  <r>
    <x v="1"/>
    <n v="8412"/>
    <s v="FDY21"/>
    <x v="6"/>
    <x v="7"/>
    <s v="OUT027"/>
    <x v="1"/>
    <x v="0"/>
    <x v="3"/>
    <n v="0.17264121299999999"/>
    <n v="0"/>
    <n v="195.11099999999999"/>
    <n v="4"/>
  </r>
  <r>
    <x v="1"/>
    <n v="8413"/>
    <s v="FDY46"/>
    <x v="6"/>
    <x v="7"/>
    <s v="OUT027"/>
    <x v="1"/>
    <x v="0"/>
    <x v="3"/>
    <n v="4.7658029999999997E-2"/>
    <n v="0"/>
    <n v="188.38980000000001"/>
    <n v="4"/>
  </r>
  <r>
    <x v="1"/>
    <n v="8414"/>
    <s v="FDZ33"/>
    <x v="6"/>
    <x v="7"/>
    <s v="OUT027"/>
    <x v="1"/>
    <x v="0"/>
    <x v="3"/>
    <n v="0.106876976"/>
    <n v="0"/>
    <n v="146.70760000000001"/>
    <n v="4"/>
  </r>
  <r>
    <x v="1"/>
    <n v="8415"/>
    <s v="DRB01"/>
    <x v="4"/>
    <x v="7"/>
    <s v="OUT027"/>
    <x v="1"/>
    <x v="0"/>
    <x v="3"/>
    <n v="8.1841135999999995E-2"/>
    <n v="0"/>
    <n v="190.053"/>
    <n v="4"/>
  </r>
  <r>
    <x v="1"/>
    <n v="8416"/>
    <s v="DRB25"/>
    <x v="4"/>
    <x v="7"/>
    <s v="OUT027"/>
    <x v="1"/>
    <x v="0"/>
    <x v="3"/>
    <n v="6.9123359999999995E-2"/>
    <n v="0"/>
    <n v="106.0938"/>
    <n v="4"/>
  </r>
  <r>
    <x v="1"/>
    <n v="8417"/>
    <s v="DRD24"/>
    <x v="4"/>
    <x v="7"/>
    <s v="OUT027"/>
    <x v="1"/>
    <x v="0"/>
    <x v="3"/>
    <n v="3.0645958000000001E-2"/>
    <n v="0"/>
    <n v="141.71539999999999"/>
    <n v="4"/>
  </r>
  <r>
    <x v="1"/>
    <n v="8418"/>
    <s v="DRE48"/>
    <x v="4"/>
    <x v="7"/>
    <s v="OUT027"/>
    <x v="1"/>
    <x v="0"/>
    <x v="3"/>
    <n v="1.724183E-2"/>
    <n v="0"/>
    <n v="197.07679999999999"/>
    <n v="4"/>
  </r>
  <r>
    <x v="1"/>
    <n v="8419"/>
    <s v="DRF25"/>
    <x v="4"/>
    <x v="7"/>
    <s v="OUT027"/>
    <x v="1"/>
    <x v="0"/>
    <x v="3"/>
    <n v="3.8736753999999998E-2"/>
    <n v="0"/>
    <n v="37.319000000000003"/>
    <n v="4"/>
  </r>
  <r>
    <x v="1"/>
    <n v="8420"/>
    <s v="DRG49"/>
    <x v="4"/>
    <x v="7"/>
    <s v="OUT027"/>
    <x v="1"/>
    <x v="0"/>
    <x v="3"/>
    <n v="6.7128641000000003E-2"/>
    <n v="0"/>
    <n v="242.8486"/>
    <n v="4"/>
  </r>
  <r>
    <x v="1"/>
    <n v="8421"/>
    <s v="DRJ01"/>
    <x v="4"/>
    <x v="7"/>
    <s v="OUT027"/>
    <x v="1"/>
    <x v="0"/>
    <x v="3"/>
    <n v="0.114475357"/>
    <n v="0"/>
    <n v="160.92359999999999"/>
    <n v="4"/>
  </r>
  <r>
    <x v="1"/>
    <n v="8422"/>
    <s v="DRK37"/>
    <x v="4"/>
    <x v="7"/>
    <s v="OUT027"/>
    <x v="1"/>
    <x v="0"/>
    <x v="3"/>
    <n v="4.3791579999999997E-2"/>
    <n v="0"/>
    <n v="189.053"/>
    <n v="4"/>
  </r>
  <r>
    <x v="1"/>
    <n v="8423"/>
    <s v="DRK49"/>
    <x v="4"/>
    <x v="7"/>
    <s v="OUT027"/>
    <x v="1"/>
    <x v="0"/>
    <x v="3"/>
    <n v="3.5769657000000003E-2"/>
    <n v="0"/>
    <n v="40.913800000000002"/>
    <n v="4"/>
  </r>
  <r>
    <x v="1"/>
    <n v="8424"/>
    <s v="FDA22"/>
    <x v="15"/>
    <x v="7"/>
    <s v="OUT027"/>
    <x v="1"/>
    <x v="0"/>
    <x v="3"/>
    <n v="0"/>
    <n v="0"/>
    <n v="167.51580000000001"/>
    <n v="4"/>
  </r>
  <r>
    <x v="1"/>
    <n v="8425"/>
    <s v="FDD11"/>
    <x v="15"/>
    <x v="7"/>
    <s v="OUT027"/>
    <x v="1"/>
    <x v="0"/>
    <x v="3"/>
    <n v="3.0468470000000001E-2"/>
    <n v="0"/>
    <n v="254.70400000000001"/>
    <n v="4"/>
  </r>
  <r>
    <x v="1"/>
    <n v="8426"/>
    <s v="FDG59"/>
    <x v="15"/>
    <x v="7"/>
    <s v="OUT027"/>
    <x v="1"/>
    <x v="0"/>
    <x v="3"/>
    <n v="4.3025208000000002E-2"/>
    <n v="0"/>
    <n v="37.616399999999999"/>
    <n v="4"/>
  </r>
  <r>
    <x v="0"/>
    <n v="8427"/>
    <s v="FDA47"/>
    <x v="13"/>
    <x v="7"/>
    <s v="OUT027"/>
    <x v="1"/>
    <x v="0"/>
    <x v="3"/>
    <n v="0.116108797"/>
    <n v="0"/>
    <n v="164.12100000000001"/>
    <n v="4"/>
  </r>
  <r>
    <x v="0"/>
    <n v="8428"/>
    <s v="FDB37"/>
    <x v="13"/>
    <x v="7"/>
    <s v="OUT027"/>
    <x v="1"/>
    <x v="0"/>
    <x v="3"/>
    <n v="2.2829734000000001E-2"/>
    <n v="0"/>
    <n v="241.0538"/>
    <n v="4"/>
  </r>
  <r>
    <x v="0"/>
    <n v="8429"/>
    <s v="FDH60"/>
    <x v="13"/>
    <x v="7"/>
    <s v="OUT027"/>
    <x v="1"/>
    <x v="0"/>
    <x v="3"/>
    <n v="8.0346057999999998E-2"/>
    <n v="0"/>
    <n v="195.71100000000001"/>
    <n v="4"/>
  </r>
  <r>
    <x v="0"/>
    <n v="8430"/>
    <s v="FDR24"/>
    <x v="13"/>
    <x v="7"/>
    <s v="OUT027"/>
    <x v="1"/>
    <x v="0"/>
    <x v="3"/>
    <n v="6.2547321000000003E-2"/>
    <n v="0"/>
    <n v="88.382999999999996"/>
    <n v="4"/>
  </r>
  <r>
    <x v="0"/>
    <n v="8431"/>
    <s v="FDV48"/>
    <x v="13"/>
    <x v="7"/>
    <s v="OUT027"/>
    <x v="1"/>
    <x v="0"/>
    <x v="3"/>
    <n v="5.1366901E-2"/>
    <n v="0"/>
    <n v="77.064400000000006"/>
    <n v="4"/>
  </r>
  <r>
    <x v="0"/>
    <n v="8432"/>
    <s v="FDZ59"/>
    <x v="13"/>
    <x v="7"/>
    <s v="OUT027"/>
    <x v="1"/>
    <x v="0"/>
    <x v="3"/>
    <n v="0.10351785300000001"/>
    <n v="0"/>
    <n v="164.95"/>
    <n v="4"/>
  </r>
  <r>
    <x v="0"/>
    <n v="8433"/>
    <s v="FDQ59"/>
    <x v="8"/>
    <x v="7"/>
    <s v="OUT027"/>
    <x v="1"/>
    <x v="0"/>
    <x v="3"/>
    <n v="0"/>
    <n v="0"/>
    <n v="84.590800000000002"/>
    <n v="4"/>
  </r>
  <r>
    <x v="0"/>
    <n v="8434"/>
    <s v="FDS11"/>
    <x v="8"/>
    <x v="7"/>
    <s v="OUT027"/>
    <x v="1"/>
    <x v="0"/>
    <x v="3"/>
    <n v="5.5289464000000003E-2"/>
    <n v="0"/>
    <n v="222.50880000000001"/>
    <n v="4"/>
  </r>
  <r>
    <x v="0"/>
    <n v="8435"/>
    <s v="FDY35"/>
    <x v="8"/>
    <x v="7"/>
    <s v="OUT027"/>
    <x v="1"/>
    <x v="0"/>
    <x v="3"/>
    <n v="1.5950065999999999E-2"/>
    <n v="0"/>
    <n v="47.740200000000002"/>
    <n v="4"/>
  </r>
  <r>
    <x v="0"/>
    <n v="8436"/>
    <s v="FDM01"/>
    <x v="12"/>
    <x v="7"/>
    <s v="OUT027"/>
    <x v="1"/>
    <x v="0"/>
    <x v="3"/>
    <n v="9.4109235999999999E-2"/>
    <n v="0"/>
    <n v="102.9332"/>
    <n v="4"/>
  </r>
  <r>
    <x v="0"/>
    <n v="8437"/>
    <s v="FDP49"/>
    <x v="12"/>
    <x v="7"/>
    <s v="OUT027"/>
    <x v="1"/>
    <x v="0"/>
    <x v="3"/>
    <n v="6.8754394999999996E-2"/>
    <n v="0"/>
    <n v="54.561399999999999"/>
    <n v="4"/>
  </r>
  <r>
    <x v="0"/>
    <n v="8438"/>
    <s v="FDR37"/>
    <x v="12"/>
    <x v="7"/>
    <s v="OUT027"/>
    <x v="1"/>
    <x v="0"/>
    <x v="3"/>
    <n v="6.5928735000000002E-2"/>
    <n v="0"/>
    <n v="183.0292"/>
    <n v="4"/>
  </r>
  <r>
    <x v="0"/>
    <n v="8439"/>
    <s v="FDA01"/>
    <x v="3"/>
    <x v="7"/>
    <s v="OUT027"/>
    <x v="1"/>
    <x v="0"/>
    <x v="3"/>
    <n v="5.4114924000000002E-2"/>
    <n v="0"/>
    <n v="58.490400000000001"/>
    <n v="4"/>
  </r>
  <r>
    <x v="0"/>
    <n v="8440"/>
    <s v="FDB26"/>
    <x v="3"/>
    <x v="7"/>
    <s v="OUT027"/>
    <x v="1"/>
    <x v="0"/>
    <x v="3"/>
    <n v="3.1116081E-2"/>
    <n v="0"/>
    <n v="55.264000000000003"/>
    <n v="4"/>
  </r>
  <r>
    <x v="0"/>
    <n v="8441"/>
    <s v="FDC14"/>
    <x v="3"/>
    <x v="7"/>
    <s v="OUT027"/>
    <x v="1"/>
    <x v="0"/>
    <x v="3"/>
    <n v="4.1049321999999999E-2"/>
    <n v="0"/>
    <n v="41.245399999999997"/>
    <n v="4"/>
  </r>
  <r>
    <x v="0"/>
    <n v="8442"/>
    <s v="FDG14"/>
    <x v="3"/>
    <x v="7"/>
    <s v="OUT027"/>
    <x v="1"/>
    <x v="0"/>
    <x v="3"/>
    <n v="5.0256161000000001E-2"/>
    <n v="0"/>
    <n v="150.9024"/>
    <n v="4"/>
  </r>
  <r>
    <x v="0"/>
    <n v="8443"/>
    <s v="FDH26"/>
    <x v="3"/>
    <x v="7"/>
    <s v="OUT027"/>
    <x v="1"/>
    <x v="0"/>
    <x v="3"/>
    <n v="3.4531701999999997E-2"/>
    <n v="0"/>
    <n v="142.24959999999999"/>
    <n v="4"/>
  </r>
  <r>
    <x v="0"/>
    <n v="8444"/>
    <s v="FDL38"/>
    <x v="3"/>
    <x v="7"/>
    <s v="OUT027"/>
    <x v="1"/>
    <x v="0"/>
    <x v="3"/>
    <n v="1.4661762E-2"/>
    <n v="0"/>
    <n v="89.117199999999997"/>
    <n v="4"/>
  </r>
  <r>
    <x v="0"/>
    <n v="8445"/>
    <s v="FDS25"/>
    <x v="3"/>
    <x v="7"/>
    <s v="OUT027"/>
    <x v="1"/>
    <x v="0"/>
    <x v="3"/>
    <n v="0.13933055699999999"/>
    <n v="0"/>
    <n v="109.5228"/>
    <n v="4"/>
  </r>
  <r>
    <x v="0"/>
    <n v="8446"/>
    <s v="FDU37"/>
    <x v="3"/>
    <x v="7"/>
    <s v="OUT027"/>
    <x v="1"/>
    <x v="0"/>
    <x v="3"/>
    <n v="0.10400212"/>
    <n v="0"/>
    <n v="79.796000000000006"/>
    <n v="4"/>
  </r>
  <r>
    <x v="0"/>
    <n v="8447"/>
    <s v="FDZ37"/>
    <x v="3"/>
    <x v="7"/>
    <s v="OUT027"/>
    <x v="1"/>
    <x v="0"/>
    <x v="3"/>
    <n v="1.9672774000000001E-2"/>
    <n v="0"/>
    <n v="86.419799999999995"/>
    <n v="4"/>
  </r>
  <r>
    <x v="0"/>
    <n v="8448"/>
    <s v="FDZ49"/>
    <x v="3"/>
    <x v="7"/>
    <s v="OUT027"/>
    <x v="1"/>
    <x v="0"/>
    <x v="3"/>
    <n v="0.132500853"/>
    <n v="0"/>
    <n v="220.37979999999999"/>
    <n v="4"/>
  </r>
  <r>
    <x v="0"/>
    <n v="8449"/>
    <s v="FDA26"/>
    <x v="11"/>
    <x v="7"/>
    <s v="OUT027"/>
    <x v="1"/>
    <x v="0"/>
    <x v="3"/>
    <n v="7.3562475000000002E-2"/>
    <n v="0"/>
    <n v="217.6482"/>
    <n v="4"/>
  </r>
  <r>
    <x v="0"/>
    <n v="8450"/>
    <s v="FDA51"/>
    <x v="11"/>
    <x v="7"/>
    <s v="OUT027"/>
    <x v="1"/>
    <x v="0"/>
    <x v="3"/>
    <n v="0.16388212899999999"/>
    <n v="0"/>
    <n v="113.2518"/>
    <n v="4"/>
  </r>
  <r>
    <x v="0"/>
    <n v="8451"/>
    <s v="FDB40"/>
    <x v="11"/>
    <x v="7"/>
    <s v="OUT027"/>
    <x v="1"/>
    <x v="0"/>
    <x v="3"/>
    <n v="7.5033720000000003E-3"/>
    <n v="0"/>
    <n v="146.71019999999999"/>
    <n v="4"/>
  </r>
  <r>
    <x v="0"/>
    <n v="8452"/>
    <s v="FDD52"/>
    <x v="11"/>
    <x v="7"/>
    <s v="OUT027"/>
    <x v="1"/>
    <x v="0"/>
    <x v="3"/>
    <n v="0.18240726600000001"/>
    <n v="0"/>
    <n v="109.157"/>
    <n v="4"/>
  </r>
  <r>
    <x v="0"/>
    <n v="8453"/>
    <s v="FDE52"/>
    <x v="11"/>
    <x v="7"/>
    <s v="OUT027"/>
    <x v="1"/>
    <x v="0"/>
    <x v="3"/>
    <n v="2.9742069999999999E-2"/>
    <n v="0"/>
    <n v="88.951400000000007"/>
    <n v="4"/>
  </r>
  <r>
    <x v="0"/>
    <n v="8454"/>
    <s v="FDJ15"/>
    <x v="11"/>
    <x v="7"/>
    <s v="OUT027"/>
    <x v="1"/>
    <x v="0"/>
    <x v="3"/>
    <n v="2.3209536999999999E-2"/>
    <n v="0"/>
    <n v="183.36080000000001"/>
    <n v="4"/>
  </r>
  <r>
    <x v="0"/>
    <n v="8455"/>
    <s v="FDK03"/>
    <x v="11"/>
    <x v="7"/>
    <s v="OUT027"/>
    <x v="1"/>
    <x v="0"/>
    <x v="3"/>
    <n v="7.3562475000000002E-2"/>
    <n v="0"/>
    <n v="254.93559999999999"/>
    <n v="4"/>
  </r>
  <r>
    <x v="0"/>
    <n v="8456"/>
    <s v="FDS02"/>
    <x v="11"/>
    <x v="7"/>
    <s v="OUT027"/>
    <x v="1"/>
    <x v="0"/>
    <x v="3"/>
    <n v="0"/>
    <n v="0"/>
    <n v="196.4794"/>
    <n v="4"/>
  </r>
  <r>
    <x v="0"/>
    <n v="8457"/>
    <s v="FDT14"/>
    <x v="11"/>
    <x v="7"/>
    <s v="OUT027"/>
    <x v="1"/>
    <x v="0"/>
    <x v="3"/>
    <n v="0.127108578"/>
    <n v="0"/>
    <n v="120.744"/>
    <n v="4"/>
  </r>
  <r>
    <x v="0"/>
    <n v="8458"/>
    <s v="FDU26"/>
    <x v="11"/>
    <x v="7"/>
    <s v="OUT027"/>
    <x v="1"/>
    <x v="0"/>
    <x v="3"/>
    <n v="4.2412572000000003E-2"/>
    <n v="0"/>
    <n v="119.0782"/>
    <n v="4"/>
  </r>
  <r>
    <x v="0"/>
    <n v="8459"/>
    <s v="FDV26"/>
    <x v="11"/>
    <x v="7"/>
    <s v="OUT027"/>
    <x v="1"/>
    <x v="0"/>
    <x v="3"/>
    <n v="7.5791641000000007E-2"/>
    <n v="0"/>
    <n v="193.3794"/>
    <n v="4"/>
  </r>
  <r>
    <x v="0"/>
    <n v="8460"/>
    <s v="FDY02"/>
    <x v="11"/>
    <x v="7"/>
    <s v="OUT027"/>
    <x v="1"/>
    <x v="0"/>
    <x v="3"/>
    <n v="8.7221496999999995E-2"/>
    <n v="0"/>
    <n v="263.99099999999999"/>
    <n v="4"/>
  </r>
  <r>
    <x v="0"/>
    <n v="8461"/>
    <s v="FDY15"/>
    <x v="11"/>
    <x v="7"/>
    <s v="OUT027"/>
    <x v="1"/>
    <x v="0"/>
    <x v="3"/>
    <n v="0.170000805"/>
    <n v="0"/>
    <n v="155.96299999999999"/>
    <n v="4"/>
  </r>
  <r>
    <x v="0"/>
    <n v="8462"/>
    <s v="FDY26"/>
    <x v="11"/>
    <x v="7"/>
    <s v="OUT027"/>
    <x v="1"/>
    <x v="0"/>
    <x v="3"/>
    <n v="3.0362777000000001E-2"/>
    <n v="0"/>
    <n v="210.52440000000001"/>
    <n v="4"/>
  </r>
  <r>
    <x v="0"/>
    <n v="8463"/>
    <s v="FDZ14"/>
    <x v="11"/>
    <x v="7"/>
    <s v="OUT027"/>
    <x v="1"/>
    <x v="0"/>
    <x v="3"/>
    <n v="4.7358246E-2"/>
    <n v="0"/>
    <n v="123.1756"/>
    <n v="4"/>
  </r>
  <r>
    <x v="0"/>
    <n v="8464"/>
    <s v="FDA04"/>
    <x v="2"/>
    <x v="7"/>
    <s v="OUT027"/>
    <x v="1"/>
    <x v="0"/>
    <x v="3"/>
    <n v="6.6406853000000002E-2"/>
    <n v="0"/>
    <n v="259.7962"/>
    <n v="4"/>
  </r>
  <r>
    <x v="0"/>
    <n v="8465"/>
    <s v="FDG17"/>
    <x v="2"/>
    <x v="7"/>
    <s v="OUT027"/>
    <x v="1"/>
    <x v="0"/>
    <x v="3"/>
    <n v="3.5666654999999998E-2"/>
    <n v="0"/>
    <n v="246.24860000000001"/>
    <n v="4"/>
  </r>
  <r>
    <x v="0"/>
    <n v="8466"/>
    <s v="FDH52"/>
    <x v="2"/>
    <x v="7"/>
    <s v="OUT027"/>
    <x v="1"/>
    <x v="0"/>
    <x v="3"/>
    <n v="4.3690499000000001E-2"/>
    <n v="0"/>
    <n v="60.2194"/>
    <n v="4"/>
  </r>
  <r>
    <x v="0"/>
    <n v="8467"/>
    <s v="FDI04"/>
    <x v="2"/>
    <x v="7"/>
    <s v="OUT027"/>
    <x v="1"/>
    <x v="0"/>
    <x v="3"/>
    <n v="7.2559350999999994E-2"/>
    <n v="0"/>
    <n v="199.3426"/>
    <n v="4"/>
  </r>
  <r>
    <x v="0"/>
    <n v="8468"/>
    <s v="FDP52"/>
    <x v="2"/>
    <x v="7"/>
    <s v="OUT027"/>
    <x v="1"/>
    <x v="0"/>
    <x v="3"/>
    <n v="7.0349402000000005E-2"/>
    <n v="0"/>
    <n v="228.601"/>
    <n v="4"/>
  </r>
  <r>
    <x v="0"/>
    <n v="8469"/>
    <s v="FDR52"/>
    <x v="2"/>
    <x v="7"/>
    <s v="OUT027"/>
    <x v="1"/>
    <x v="0"/>
    <x v="3"/>
    <n v="7.5676338999999995E-2"/>
    <n v="0"/>
    <n v="190.4846"/>
    <n v="4"/>
  </r>
  <r>
    <x v="0"/>
    <n v="8470"/>
    <s v="FDS16"/>
    <x v="2"/>
    <x v="7"/>
    <s v="OUT027"/>
    <x v="1"/>
    <x v="0"/>
    <x v="3"/>
    <n v="0"/>
    <n v="0"/>
    <n v="145.27600000000001"/>
    <n v="4"/>
  </r>
  <r>
    <x v="0"/>
    <n v="8471"/>
    <s v="FDU28"/>
    <x v="2"/>
    <x v="7"/>
    <s v="OUT027"/>
    <x v="1"/>
    <x v="0"/>
    <x v="3"/>
    <n v="9.3463545999999995E-2"/>
    <n v="0"/>
    <n v="189.12139999999999"/>
    <n v="4"/>
  </r>
  <r>
    <x v="0"/>
    <n v="8472"/>
    <s v="FDV28"/>
    <x v="2"/>
    <x v="7"/>
    <s v="OUT027"/>
    <x v="1"/>
    <x v="0"/>
    <x v="3"/>
    <n v="0.15895490300000001"/>
    <n v="0"/>
    <n v="34.955800000000004"/>
    <n v="4"/>
  </r>
  <r>
    <x v="0"/>
    <n v="8473"/>
    <s v="FDW52"/>
    <x v="2"/>
    <x v="7"/>
    <s v="OUT027"/>
    <x v="1"/>
    <x v="0"/>
    <x v="3"/>
    <n v="3.7340835000000003E-2"/>
    <n v="0"/>
    <n v="163.15260000000001"/>
    <n v="4"/>
  </r>
  <r>
    <x v="0"/>
    <n v="8474"/>
    <s v="FDZ16"/>
    <x v="2"/>
    <x v="7"/>
    <s v="OUT027"/>
    <x v="1"/>
    <x v="0"/>
    <x v="3"/>
    <n v="0.159081735"/>
    <n v="0"/>
    <n v="193.5478"/>
    <n v="4"/>
  </r>
  <r>
    <x v="0"/>
    <n v="8475"/>
    <s v="FDA07"/>
    <x v="0"/>
    <x v="7"/>
    <s v="OUT027"/>
    <x v="1"/>
    <x v="0"/>
    <x v="3"/>
    <n v="3.0794774E-2"/>
    <n v="0"/>
    <n v="122.9072"/>
    <n v="4"/>
  </r>
  <r>
    <x v="0"/>
    <n v="8476"/>
    <s v="FDF21"/>
    <x v="0"/>
    <x v="7"/>
    <s v="OUT027"/>
    <x v="1"/>
    <x v="0"/>
    <x v="3"/>
    <n v="5.8542509E-2"/>
    <n v="0"/>
    <n v="188.35300000000001"/>
    <n v="4"/>
  </r>
  <r>
    <x v="0"/>
    <n v="8477"/>
    <s v="FDF56"/>
    <x v="0"/>
    <x v="7"/>
    <s v="OUT027"/>
    <x v="1"/>
    <x v="0"/>
    <x v="3"/>
    <n v="0.118883724"/>
    <n v="0"/>
    <n v="180.39760000000001"/>
    <n v="4"/>
  </r>
  <r>
    <x v="0"/>
    <n v="8478"/>
    <s v="FDG09"/>
    <x v="0"/>
    <x v="7"/>
    <s v="OUT027"/>
    <x v="1"/>
    <x v="0"/>
    <x v="3"/>
    <n v="4.7704151E-2"/>
    <n v="0"/>
    <n v="187.25559999999999"/>
    <n v="4"/>
  </r>
  <r>
    <x v="0"/>
    <n v="8479"/>
    <s v="FDN56"/>
    <x v="0"/>
    <x v="7"/>
    <s v="OUT027"/>
    <x v="1"/>
    <x v="0"/>
    <x v="3"/>
    <n v="0.106538757"/>
    <n v="0"/>
    <n v="145.4786"/>
    <n v="4"/>
  </r>
  <r>
    <x v="0"/>
    <n v="8480"/>
    <s v="FDQ32"/>
    <x v="0"/>
    <x v="7"/>
    <s v="OUT027"/>
    <x v="1"/>
    <x v="0"/>
    <x v="3"/>
    <n v="4.6382792999999999E-2"/>
    <n v="0"/>
    <n v="122.83880000000001"/>
    <n v="4"/>
  </r>
  <r>
    <x v="0"/>
    <n v="8481"/>
    <s v="FDQ55"/>
    <x v="0"/>
    <x v="7"/>
    <s v="OUT027"/>
    <x v="1"/>
    <x v="0"/>
    <x v="3"/>
    <n v="1.2974937000000001E-2"/>
    <n v="0"/>
    <n v="115.9834"/>
    <n v="4"/>
  </r>
  <r>
    <x v="0"/>
    <n v="8482"/>
    <s v="FDR44"/>
    <x v="0"/>
    <x v="7"/>
    <s v="OUT027"/>
    <x v="1"/>
    <x v="0"/>
    <x v="3"/>
    <n v="0.10242248700000001"/>
    <n v="0"/>
    <n v="131.49680000000001"/>
    <n v="4"/>
  </r>
  <r>
    <x v="0"/>
    <n v="8483"/>
    <s v="FDT55"/>
    <x v="0"/>
    <x v="7"/>
    <s v="OUT027"/>
    <x v="1"/>
    <x v="0"/>
    <x v="3"/>
    <n v="4.3443753000000002E-2"/>
    <n v="0"/>
    <n v="158.19460000000001"/>
    <n v="4"/>
  </r>
  <r>
    <x v="0"/>
    <n v="8484"/>
    <s v="FDT56"/>
    <x v="0"/>
    <x v="7"/>
    <s v="OUT027"/>
    <x v="1"/>
    <x v="0"/>
    <x v="3"/>
    <n v="0.115032648"/>
    <n v="0"/>
    <n v="58.0246"/>
    <n v="4"/>
  </r>
  <r>
    <x v="0"/>
    <n v="8485"/>
    <s v="FDU20"/>
    <x v="0"/>
    <x v="7"/>
    <s v="OUT027"/>
    <x v="1"/>
    <x v="0"/>
    <x v="3"/>
    <n v="2.1353641999999999E-2"/>
    <n v="0"/>
    <n v="122.10980000000001"/>
    <n v="4"/>
  </r>
  <r>
    <x v="0"/>
    <n v="8486"/>
    <s v="FDW07"/>
    <x v="0"/>
    <x v="7"/>
    <s v="OUT027"/>
    <x v="1"/>
    <x v="0"/>
    <x v="3"/>
    <n v="0.141997869"/>
    <n v="0"/>
    <n v="90.551400000000001"/>
    <n v="4"/>
  </r>
  <r>
    <x v="0"/>
    <n v="8487"/>
    <s v="FDW31"/>
    <x v="0"/>
    <x v="7"/>
    <s v="OUT027"/>
    <x v="1"/>
    <x v="0"/>
    <x v="3"/>
    <n v="4.2949108999999999E-2"/>
    <n v="0"/>
    <n v="199.57419999999999"/>
    <n v="4"/>
  </r>
  <r>
    <x v="0"/>
    <n v="8488"/>
    <s v="FDX56"/>
    <x v="0"/>
    <x v="7"/>
    <s v="OUT027"/>
    <x v="1"/>
    <x v="0"/>
    <x v="3"/>
    <n v="7.3700837000000005E-2"/>
    <n v="0"/>
    <n v="207.16380000000001"/>
    <n v="4"/>
  </r>
  <r>
    <x v="0"/>
    <n v="8489"/>
    <s v="FDY08"/>
    <x v="0"/>
    <x v="7"/>
    <s v="OUT027"/>
    <x v="1"/>
    <x v="0"/>
    <x v="3"/>
    <n v="0.17024678200000001"/>
    <n v="0"/>
    <n v="141.5838"/>
    <n v="4"/>
  </r>
  <r>
    <x v="0"/>
    <n v="8490"/>
    <s v="FDY44"/>
    <x v="0"/>
    <x v="7"/>
    <s v="OUT027"/>
    <x v="1"/>
    <x v="0"/>
    <x v="3"/>
    <n v="2.4286378000000001E-2"/>
    <n v="0"/>
    <n v="194.71100000000001"/>
    <n v="4"/>
  </r>
  <r>
    <x v="0"/>
    <n v="8491"/>
    <s v="FDM15"/>
    <x v="7"/>
    <x v="7"/>
    <s v="OUT027"/>
    <x v="1"/>
    <x v="0"/>
    <x v="3"/>
    <n v="5.7143514999999999E-2"/>
    <n v="0"/>
    <n v="151.8366"/>
    <n v="4"/>
  </r>
  <r>
    <x v="0"/>
    <n v="8492"/>
    <s v="FDM27"/>
    <x v="7"/>
    <x v="7"/>
    <s v="OUT027"/>
    <x v="1"/>
    <x v="0"/>
    <x v="3"/>
    <n v="0.157701958"/>
    <n v="0"/>
    <n v="158.7946"/>
    <n v="4"/>
  </r>
  <r>
    <x v="0"/>
    <n v="8493"/>
    <s v="FDO15"/>
    <x v="7"/>
    <x v="7"/>
    <s v="OUT027"/>
    <x v="1"/>
    <x v="0"/>
    <x v="3"/>
    <n v="8.5250610000000004E-3"/>
    <n v="0"/>
    <n v="72.503799999999998"/>
    <n v="4"/>
  </r>
  <r>
    <x v="0"/>
    <n v="8494"/>
    <s v="FDU27"/>
    <x v="7"/>
    <x v="7"/>
    <s v="OUT027"/>
    <x v="1"/>
    <x v="0"/>
    <x v="3"/>
    <n v="0.17064649400000001"/>
    <n v="0"/>
    <n v="46.337600000000002"/>
    <n v="4"/>
  </r>
  <r>
    <x v="0"/>
    <n v="8495"/>
    <s v="FDW27"/>
    <x v="7"/>
    <x v="7"/>
    <s v="OUT027"/>
    <x v="1"/>
    <x v="0"/>
    <x v="3"/>
    <n v="0.150122794"/>
    <n v="0"/>
    <n v="154.53139999999999"/>
    <n v="4"/>
  </r>
  <r>
    <x v="0"/>
    <n v="8496"/>
    <s v="FDX03"/>
    <x v="7"/>
    <x v="7"/>
    <s v="OUT027"/>
    <x v="1"/>
    <x v="0"/>
    <x v="3"/>
    <n v="6.0800116000000001E-2"/>
    <n v="0"/>
    <n v="44.474400000000003"/>
    <n v="4"/>
  </r>
  <r>
    <x v="0"/>
    <n v="8497"/>
    <s v="FDY03"/>
    <x v="7"/>
    <x v="7"/>
    <s v="OUT027"/>
    <x v="1"/>
    <x v="0"/>
    <x v="3"/>
    <n v="7.5753207000000003E-2"/>
    <n v="0"/>
    <n v="111.1202"/>
    <n v="4"/>
  </r>
  <r>
    <x v="0"/>
    <n v="8498"/>
    <s v="FDG22"/>
    <x v="6"/>
    <x v="7"/>
    <s v="OUT027"/>
    <x v="1"/>
    <x v="0"/>
    <x v="3"/>
    <n v="4.1180766000000001E-2"/>
    <n v="0"/>
    <n v="37.918999999999997"/>
    <n v="4"/>
  </r>
  <r>
    <x v="0"/>
    <n v="8499"/>
    <s v="FDG46"/>
    <x v="6"/>
    <x v="7"/>
    <s v="OUT027"/>
    <x v="1"/>
    <x v="0"/>
    <x v="3"/>
    <n v="3.2750291000000001E-2"/>
    <n v="0"/>
    <n v="112.15179999999999"/>
    <n v="4"/>
  </r>
  <r>
    <x v="0"/>
    <n v="8500"/>
    <s v="FDJ21"/>
    <x v="6"/>
    <x v="7"/>
    <s v="OUT027"/>
    <x v="1"/>
    <x v="0"/>
    <x v="3"/>
    <n v="3.8341654000000003E-2"/>
    <n v="0"/>
    <n v="146.21019999999999"/>
    <n v="4"/>
  </r>
  <r>
    <x v="0"/>
    <n v="8501"/>
    <s v="FDK58"/>
    <x v="6"/>
    <x v="7"/>
    <s v="OUT027"/>
    <x v="1"/>
    <x v="0"/>
    <x v="3"/>
    <n v="4.4764725999999998E-2"/>
    <n v="0"/>
    <n v="102.4016"/>
    <n v="4"/>
  </r>
  <r>
    <x v="0"/>
    <n v="8502"/>
    <s v="FDN34"/>
    <x v="6"/>
    <x v="7"/>
    <s v="OUT027"/>
    <x v="1"/>
    <x v="0"/>
    <x v="3"/>
    <n v="4.5542628000000002E-2"/>
    <n v="0"/>
    <n v="170.7132"/>
    <n v="4"/>
  </r>
  <r>
    <x v="0"/>
    <n v="8503"/>
    <s v="FDP21"/>
    <x v="6"/>
    <x v="7"/>
    <s v="OUT027"/>
    <x v="1"/>
    <x v="0"/>
    <x v="3"/>
    <n v="2.5616191E-2"/>
    <n v="0"/>
    <n v="188.18719999999999"/>
    <n v="4"/>
  </r>
  <r>
    <x v="0"/>
    <n v="8504"/>
    <s v="FDR22"/>
    <x v="6"/>
    <x v="7"/>
    <s v="OUT027"/>
    <x v="1"/>
    <x v="0"/>
    <x v="3"/>
    <n v="1.8472714000000001E-2"/>
    <n v="0"/>
    <n v="109.95440000000001"/>
    <n v="4"/>
  </r>
  <r>
    <x v="0"/>
    <n v="8505"/>
    <s v="FDS09"/>
    <x v="6"/>
    <x v="7"/>
    <s v="OUT027"/>
    <x v="1"/>
    <x v="0"/>
    <x v="3"/>
    <n v="8.0695805999999995E-2"/>
    <n v="0"/>
    <n v="51.300800000000002"/>
    <n v="4"/>
  </r>
  <r>
    <x v="0"/>
    <n v="8506"/>
    <s v="FDS34"/>
    <x v="6"/>
    <x v="7"/>
    <s v="OUT027"/>
    <x v="1"/>
    <x v="0"/>
    <x v="3"/>
    <n v="7.6387366999999998E-2"/>
    <n v="0"/>
    <n v="112.15179999999999"/>
    <n v="4"/>
  </r>
  <r>
    <x v="0"/>
    <n v="8507"/>
    <s v="FDU09"/>
    <x v="6"/>
    <x v="7"/>
    <s v="OUT027"/>
    <x v="1"/>
    <x v="0"/>
    <x v="3"/>
    <n v="6.6274639999999996E-2"/>
    <n v="0"/>
    <n v="54.195599999999999"/>
    <n v="4"/>
  </r>
  <r>
    <x v="0"/>
    <n v="8508"/>
    <s v="FDU33"/>
    <x v="6"/>
    <x v="7"/>
    <s v="OUT027"/>
    <x v="1"/>
    <x v="0"/>
    <x v="3"/>
    <n v="0.13405742600000001"/>
    <n v="0"/>
    <n v="45.340200000000003"/>
    <n v="4"/>
  </r>
  <r>
    <x v="0"/>
    <n v="8509"/>
    <s v="FDU57"/>
    <x v="6"/>
    <x v="7"/>
    <s v="OUT027"/>
    <x v="1"/>
    <x v="0"/>
    <x v="3"/>
    <n v="8.9120515999999997E-2"/>
    <n v="0"/>
    <n v="149.8708"/>
    <n v="4"/>
  </r>
  <r>
    <x v="0"/>
    <n v="8510"/>
    <s v="FDU58"/>
    <x v="6"/>
    <x v="7"/>
    <s v="OUT027"/>
    <x v="1"/>
    <x v="0"/>
    <x v="3"/>
    <n v="2.8871234999999999E-2"/>
    <n v="0"/>
    <n v="188.78980000000001"/>
    <n v="4"/>
  </r>
  <r>
    <x v="0"/>
    <n v="8511"/>
    <s v="FDX46"/>
    <x v="6"/>
    <x v="7"/>
    <s v="OUT027"/>
    <x v="1"/>
    <x v="0"/>
    <x v="3"/>
    <n v="5.7835325E-2"/>
    <n v="0"/>
    <n v="57.556199999999997"/>
    <n v="4"/>
  </r>
  <r>
    <x v="0"/>
    <n v="8512"/>
    <s v="FDX57"/>
    <x v="6"/>
    <x v="7"/>
    <s v="OUT027"/>
    <x v="1"/>
    <x v="0"/>
    <x v="3"/>
    <n v="4.7037322999999999E-2"/>
    <n v="0"/>
    <n v="96.406800000000004"/>
    <n v="4"/>
  </r>
  <r>
    <x v="0"/>
    <n v="8513"/>
    <s v="FDY33"/>
    <x v="6"/>
    <x v="7"/>
    <s v="OUT027"/>
    <x v="1"/>
    <x v="0"/>
    <x v="3"/>
    <n v="9.6730426999999994E-2"/>
    <n v="0"/>
    <n v="159.02619999999999"/>
    <n v="4"/>
  </r>
  <r>
    <x v="0"/>
    <n v="8514"/>
    <s v="DRY23"/>
    <x v="4"/>
    <x v="7"/>
    <s v="OUT027"/>
    <x v="1"/>
    <x v="0"/>
    <x v="3"/>
    <n v="0.108568067"/>
    <n v="0"/>
    <n v="42.911200000000001"/>
    <n v="4"/>
  </r>
  <r>
    <x v="1"/>
    <n v="8515"/>
    <s v="FDA11"/>
    <x v="13"/>
    <x v="7"/>
    <s v="OUT027"/>
    <x v="1"/>
    <x v="0"/>
    <x v="3"/>
    <n v="4.3029435999999997E-2"/>
    <n v="0"/>
    <n v="94.743600000000001"/>
    <n v="4"/>
  </r>
  <r>
    <x v="1"/>
    <n v="8516"/>
    <s v="FDK38"/>
    <x v="3"/>
    <x v="7"/>
    <s v="OUT027"/>
    <x v="1"/>
    <x v="0"/>
    <x v="3"/>
    <n v="5.3031857000000002E-2"/>
    <n v="0"/>
    <n v="149.17339999999999"/>
    <n v="4"/>
  </r>
  <r>
    <x v="1"/>
    <n v="8517"/>
    <s v="FDO38"/>
    <x v="3"/>
    <x v="7"/>
    <s v="OUT027"/>
    <x v="1"/>
    <x v="0"/>
    <x v="3"/>
    <n v="7.2486326000000004E-2"/>
    <n v="0"/>
    <n v="78.998599999999996"/>
    <n v="4"/>
  </r>
  <r>
    <x v="1"/>
    <n v="8518"/>
    <s v="FDG32"/>
    <x v="0"/>
    <x v="7"/>
    <s v="OUT027"/>
    <x v="1"/>
    <x v="0"/>
    <x v="3"/>
    <n v="0.17514326"/>
    <n v="0"/>
    <n v="222.37719999999999"/>
    <n v="4"/>
  </r>
  <r>
    <x v="1"/>
    <n v="8519"/>
    <s v="NCT53"/>
    <x v="1"/>
    <x v="7"/>
    <s v="OUT027"/>
    <x v="1"/>
    <x v="0"/>
    <x v="3"/>
    <n v="0"/>
    <n v="0"/>
    <n v="164.55260000000001"/>
    <n v="4"/>
  </r>
  <r>
    <x v="1"/>
    <n v="8520"/>
    <s v="FDN09"/>
    <x v="6"/>
    <x v="7"/>
    <s v="OUT027"/>
    <x v="1"/>
    <x v="0"/>
    <x v="3"/>
    <n v="3.4705806999999998E-2"/>
    <n v="0"/>
    <n v="241.68279999999999"/>
    <n v="4"/>
  </r>
  <r>
    <x v="1"/>
    <n v="8521"/>
    <s v="DRE13"/>
    <x v="4"/>
    <x v="7"/>
    <s v="OUT027"/>
    <x v="1"/>
    <x v="0"/>
    <x v="3"/>
    <n v="2.7570938999999999E-2"/>
    <n v="0"/>
    <n v="86.619799999999998"/>
    <n v="4"/>
  </r>
  <r>
    <x v="0"/>
    <n v="8522"/>
    <s v="FDT50"/>
    <x v="11"/>
    <x v="7"/>
    <s v="OUT027"/>
    <x v="1"/>
    <x v="0"/>
    <x v="3"/>
    <n v="0.107714834"/>
    <n v="0"/>
    <n v="97.875200000000007"/>
    <n v="4"/>
  </r>
  <r>
    <x v="0"/>
    <n v="8523"/>
    <s v="FDM58"/>
    <x v="6"/>
    <x v="7"/>
    <s v="OUT027"/>
    <x v="1"/>
    <x v="0"/>
    <x v="3"/>
    <n v="0"/>
    <n v="0"/>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6D1DF-7A10-4B6C-9574-34D237EDE1BA}" name="PivotTable6" cacheId="4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5:C29"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428">
      <pivotArea type="all" dataOnly="0" outline="0" fieldPosition="0"/>
    </format>
    <format dxfId="427">
      <pivotArea dataOnly="0" labelOnly="1" grandRow="1" outline="0" fieldPosition="0"/>
    </format>
    <format dxfId="426">
      <pivotArea dataOnly="0" labelOnly="1" outline="0" axis="axisValues" fieldPosition="0"/>
    </format>
    <format dxfId="425">
      <pivotArea collapsedLevelsAreSubtotals="1" fieldPosition="0">
        <references count="1">
          <reference field="0" count="1">
            <x v="1"/>
          </reference>
        </references>
      </pivotArea>
    </format>
    <format dxfId="424">
      <pivotArea collapsedLevelsAreSubtotals="1" fieldPosition="0">
        <references count="1">
          <reference field="0" count="1">
            <x v="0"/>
          </reference>
        </references>
      </pivotArea>
    </format>
    <format dxfId="423">
      <pivotArea type="all" dataOnly="0" outline="0" fieldPosition="0"/>
    </format>
    <format dxfId="422">
      <pivotArea outline="0" collapsedLevelsAreSubtotals="1" fieldPosition="0"/>
    </format>
    <format dxfId="421">
      <pivotArea type="origin" dataOnly="0" labelOnly="1" outline="0" fieldPosition="0"/>
    </format>
    <format dxfId="420">
      <pivotArea field="0" type="button" dataOnly="0" labelOnly="1" outline="0" axis="axisCol" fieldPosition="0"/>
    </format>
    <format dxfId="419">
      <pivotArea type="topRight" dataOnly="0" labelOnly="1" outline="0" fieldPosition="0"/>
    </format>
    <format dxfId="418">
      <pivotArea field="6" type="button" dataOnly="0" labelOnly="1" outline="0" axis="axisRow" fieldPosition="0"/>
    </format>
    <format dxfId="417">
      <pivotArea dataOnly="0" labelOnly="1" fieldPosition="0">
        <references count="1">
          <reference field="6" count="0"/>
        </references>
      </pivotArea>
    </format>
    <format dxfId="416">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2"/>
          </reference>
        </references>
      </pivotArea>
    </chartFormat>
    <chartFormat chart="7" format="7"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8AE0A-BDBC-438E-BE1E-13FD54D936BD}" name="PivotTable10"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95:B98"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3" baseItem="12" numFmtId="167"/>
  </dataFields>
  <formats count="12">
    <format dxfId="440">
      <pivotArea type="all" dataOnly="0" outline="0" fieldPosition="0"/>
    </format>
    <format dxfId="439">
      <pivotArea outline="0" collapsedLevelsAreSubtotals="1" fieldPosition="0"/>
    </format>
    <format dxfId="438">
      <pivotArea field="0" type="button" dataOnly="0" labelOnly="1" outline="0"/>
    </format>
    <format dxfId="437">
      <pivotArea dataOnly="0" labelOnly="1" grandRow="1" outline="0" fieldPosition="0"/>
    </format>
    <format dxfId="436">
      <pivotArea dataOnly="0" labelOnly="1" outline="0" axis="axisValues" fieldPosition="0"/>
    </format>
    <format dxfId="435">
      <pivotArea outline="0" collapsedLevelsAreSubtotals="1"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6" type="button" dataOnly="0" labelOnly="1" outline="0" axis="axisRow" fieldPosition="0"/>
    </format>
    <format dxfId="430">
      <pivotArea dataOnly="0" labelOnly="1" fieldPosition="0">
        <references count="1">
          <reference field="6" count="0"/>
        </references>
      </pivotArea>
    </format>
    <format dxfId="42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CD7BB5-3A8A-476C-81F9-2FF309F950B8}" name="PivotTable8"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62:B7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3" baseItem="12" numFmtId="167"/>
  </dataFields>
  <formats count="12">
    <format dxfId="452">
      <pivotArea type="all" dataOnly="0" outline="0" fieldPosition="0"/>
    </format>
    <format dxfId="451">
      <pivotArea outline="0" collapsedLevelsAreSubtotals="1" fieldPosition="0"/>
    </format>
    <format dxfId="450">
      <pivotArea field="0" type="button" dataOnly="0" labelOnly="1" outline="0"/>
    </format>
    <format dxfId="449">
      <pivotArea dataOnly="0" labelOnly="1" grandRow="1" outline="0" fieldPosition="0"/>
    </format>
    <format dxfId="448">
      <pivotArea dataOnly="0" labelOnly="1" outline="0" axis="axisValues" fieldPosition="0"/>
    </format>
    <format dxfId="447">
      <pivotArea outline="0" collapsedLevelsAreSubtotals="1" fieldPosition="0"/>
    </format>
    <format dxfId="446">
      <pivotArea dataOnly="0" labelOnly="1" outline="0" axis="axisValues" fieldPosition="0"/>
    </format>
    <format dxfId="445">
      <pivotArea type="all" dataOnly="0" outline="0" fieldPosition="0"/>
    </format>
    <format dxfId="444">
      <pivotArea outline="0" collapsedLevelsAreSubtotals="1" fieldPosition="0"/>
    </format>
    <format dxfId="443">
      <pivotArea field="4" type="button" dataOnly="0" labelOnly="1" outline="0" axis="axisRow" fieldPosition="0"/>
    </format>
    <format dxfId="442">
      <pivotArea dataOnly="0" labelOnly="1" fieldPosition="0">
        <references count="1">
          <reference field="4" count="6">
            <x v="0"/>
            <x v="1"/>
            <x v="3"/>
            <x v="6"/>
            <x v="7"/>
            <x v="8"/>
          </reference>
        </references>
      </pivotArea>
    </format>
    <format dxfId="44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1"/>
          </reference>
        </references>
      </pivotArea>
    </chartFormat>
    <chartFormat chart="20" format="4">
      <pivotArea type="data" outline="0" fieldPosition="0">
        <references count="2">
          <reference field="4294967294" count="1" selected="0">
            <x v="0"/>
          </reference>
          <reference field="4" count="1" selected="0">
            <x v="3"/>
          </reference>
        </references>
      </pivotArea>
    </chartFormat>
    <chartFormat chart="20" format="5">
      <pivotArea type="data" outline="0" fieldPosition="0">
        <references count="2">
          <reference field="4294967294" count="1" selected="0">
            <x v="0"/>
          </reference>
          <reference field="4" count="1" selected="0">
            <x v="6"/>
          </reference>
        </references>
      </pivotArea>
    </chartFormat>
    <chartFormat chart="20" format="6">
      <pivotArea type="data" outline="0" fieldPosition="0">
        <references count="2">
          <reference field="4294967294" count="1" selected="0">
            <x v="0"/>
          </reference>
          <reference field="4" count="1" selected="0">
            <x v="7"/>
          </reference>
        </references>
      </pivotArea>
    </chartFormat>
    <chartFormat chart="20" format="7">
      <pivotArea type="data" outline="0" fieldPosition="0">
        <references count="2">
          <reference field="4294967294" count="1" selected="0">
            <x v="0"/>
          </reference>
          <reference field="4" count="1" selected="0">
            <x v="8"/>
          </reference>
        </references>
      </pivotArea>
    </chartFormat>
    <chartFormat chart="20"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6E503A-EAAC-4033-80E3-DE69956B6804}" name="PivotTable7"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41:B57"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12" numFmtId="167"/>
  </dataFields>
  <formats count="12">
    <format dxfId="464">
      <pivotArea type="all" dataOnly="0" outline="0" fieldPosition="0"/>
    </format>
    <format dxfId="463">
      <pivotArea outline="0" collapsedLevelsAreSubtotals="1" fieldPosition="0"/>
    </format>
    <format dxfId="462">
      <pivotArea field="0" type="button" dataOnly="0" labelOnly="1" outline="0"/>
    </format>
    <format dxfId="461">
      <pivotArea dataOnly="0" labelOnly="1" grandRow="1" outline="0" fieldPosition="0"/>
    </format>
    <format dxfId="460">
      <pivotArea dataOnly="0" labelOnly="1" outline="0" axis="axisValues" fieldPosition="0"/>
    </format>
    <format dxfId="459">
      <pivotArea outline="0" collapsedLevelsAreSubtotals="1" fieldPosition="0"/>
    </format>
    <format dxfId="458">
      <pivotArea dataOnly="0" labelOnly="1" outline="0" axis="axisValues" fieldPosition="0"/>
    </format>
    <format dxfId="457">
      <pivotArea type="all" dataOnly="0" outline="0" fieldPosition="0"/>
    </format>
    <format dxfId="456">
      <pivotArea outline="0" collapsedLevelsAreSubtotals="1" fieldPosition="0"/>
    </format>
    <format dxfId="455">
      <pivotArea field="3" type="button" dataOnly="0" labelOnly="1" outline="0" axis="axisRow" fieldPosition="0"/>
    </format>
    <format dxfId="454">
      <pivotArea dataOnly="0" labelOnly="1" fieldPosition="0">
        <references count="1">
          <reference field="3" count="0"/>
        </references>
      </pivotArea>
    </format>
    <format dxfId="4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3ED47-1A0F-4FDE-AABF-6E4E7951D8A5}" name="PivotTable5"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472">
      <pivotArea type="all" dataOnly="0" outline="0" fieldPosition="0"/>
    </format>
    <format dxfId="471">
      <pivotArea outline="0" collapsedLevelsAreSubtotals="1" fieldPosition="0"/>
    </format>
    <format dxfId="470">
      <pivotArea field="0" type="button" dataOnly="0" labelOnly="1" outline="0" axis="axisRow" fieldPosition="0"/>
    </format>
    <format dxfId="469">
      <pivotArea dataOnly="0" labelOnly="1" fieldPosition="0">
        <references count="1">
          <reference field="0" count="0"/>
        </references>
      </pivotArea>
    </format>
    <format dxfId="468">
      <pivotArea dataOnly="0" labelOnly="1" grandRow="1" outline="0" fieldPosition="0"/>
    </format>
    <format dxfId="467">
      <pivotArea dataOnly="0" labelOnly="1" outline="0" axis="axisValues" fieldPosition="0"/>
    </format>
    <format dxfId="466">
      <pivotArea collapsedLevelsAreSubtotals="1" fieldPosition="0">
        <references count="1">
          <reference field="0" count="1">
            <x v="1"/>
          </reference>
        </references>
      </pivotArea>
    </format>
    <format dxfId="465">
      <pivotArea collapsedLevelsAreSubtotals="1" fieldPosition="0">
        <references count="1">
          <reference field="0"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80071C-D82D-435C-B112-2DB9EADA8311}" name="PivotTable16"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126:B13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6">
    <format dxfId="488">
      <pivotArea type="all" dataOnly="0" outline="0" fieldPosition="0"/>
    </format>
    <format dxfId="487">
      <pivotArea outline="0" collapsedLevelsAreSubtotals="1" fieldPosition="0"/>
    </format>
    <format dxfId="486">
      <pivotArea field="0" type="button" dataOnly="0" labelOnly="1" outline="0"/>
    </format>
    <format dxfId="485">
      <pivotArea dataOnly="0" labelOnly="1" grandRow="1" outline="0" fieldPosition="0"/>
    </format>
    <format dxfId="484">
      <pivotArea dataOnly="0" labelOnly="1" outline="0" axis="axisValues" fieldPosition="0"/>
    </format>
    <format dxfId="483">
      <pivotArea outline="0" collapsedLevelsAreSubtotals="1"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field="6" type="button" dataOnly="0" labelOnly="1" outline="0"/>
    </format>
    <format dxfId="478">
      <pivotArea outline="0" collapsedLevelsAreSubtotals="1" fieldPosition="0"/>
    </format>
    <format dxfId="477">
      <pivotArea type="all" dataOnly="0" outline="0" fieldPosition="0"/>
    </format>
    <format dxfId="476">
      <pivotArea outline="0" collapsedLevelsAreSubtotals="1" fieldPosition="0"/>
    </format>
    <format dxfId="475">
      <pivotArea field="8" type="button" dataOnly="0" labelOnly="1" outline="0" axis="axisRow" fieldPosition="0"/>
    </format>
    <format dxfId="474">
      <pivotArea dataOnly="0" labelOnly="1" fieldPosition="0">
        <references count="1">
          <reference field="8" count="0"/>
        </references>
      </pivotArea>
    </format>
    <format dxfId="473">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13B67-5D43-4101-AAE0-A18DCAFA879B}"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erial no" fld="1" subtotal="count" baseField="0" baseItem="1"/>
    <dataField name="Average of Rating" fld="12" subtotal="average" baseField="0" baseItem="1" numFmtId="166"/>
  </dataFields>
  <formats count="4">
    <format dxfId="492">
      <pivotArea type="all" dataOnly="0" outline="0" fieldPosition="0"/>
    </format>
    <format dxfId="491">
      <pivotArea outline="0" collapsedLevelsAreSubtotals="1" fieldPosition="0"/>
    </format>
    <format dxfId="490">
      <pivotArea dataOnly="0" labelOnly="1" outline="0" fieldPosition="0">
        <references count="1">
          <reference field="4294967294" count="4">
            <x v="0"/>
            <x v="1"/>
            <x v="2"/>
            <x v="3"/>
          </reference>
        </references>
      </pivotArea>
    </format>
    <format dxfId="48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B2BDB7-B994-4808-8C37-5F681868186B}" name="PivotTable9"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77:B8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12" numFmtId="167"/>
  </dataFields>
  <formats count="12">
    <format dxfId="504">
      <pivotArea type="all" dataOnly="0" outline="0" fieldPosition="0"/>
    </format>
    <format dxfId="503">
      <pivotArea outline="0" collapsedLevelsAreSubtotals="1" fieldPosition="0"/>
    </format>
    <format dxfId="502">
      <pivotArea field="0" type="button" dataOnly="0" labelOnly="1" outline="0"/>
    </format>
    <format dxfId="501">
      <pivotArea dataOnly="0" labelOnly="1" grandRow="1" outline="0" fieldPosition="0"/>
    </format>
    <format dxfId="500">
      <pivotArea dataOnly="0" labelOnly="1" outline="0" axis="axisValues" fieldPosition="0"/>
    </format>
    <format dxfId="499">
      <pivotArea outline="0" collapsedLevelsAreSubtotals="1" fieldPosition="0"/>
    </format>
    <format dxfId="498">
      <pivotArea dataOnly="0" labelOnly="1" outline="0" axis="axisValues" fieldPosition="0"/>
    </format>
    <format dxfId="497">
      <pivotArea type="all" dataOnly="0" outline="0" fieldPosition="0"/>
    </format>
    <format dxfId="496">
      <pivotArea outline="0" collapsedLevelsAreSubtotals="1" fieldPosition="0"/>
    </format>
    <format dxfId="495">
      <pivotArea field="7" type="button" dataOnly="0" labelOnly="1" outline="0" axis="axisRow" fieldPosition="0"/>
    </format>
    <format dxfId="494">
      <pivotArea dataOnly="0" labelOnly="1" fieldPosition="0">
        <references count="1">
          <reference field="7" count="0"/>
        </references>
      </pivotArea>
    </format>
    <format dxfId="49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1">
          <reference field="4294967294" count="1" selected="0">
            <x v="0"/>
          </reference>
        </references>
      </pivotArea>
    </chartFormat>
    <chartFormat chart="2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E80093-4ECD-4EB1-A49E-2A2925F21230}" name="PivotTable15" cacheId="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114:B118"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3" baseItem="12" numFmtId="167"/>
  </dataFields>
  <formats count="12">
    <format dxfId="516">
      <pivotArea type="all" dataOnly="0" outline="0" fieldPosition="0"/>
    </format>
    <format dxfId="515">
      <pivotArea outline="0" collapsedLevelsAreSubtotals="1" fieldPosition="0"/>
    </format>
    <format dxfId="514">
      <pivotArea field="0" type="button" dataOnly="0" labelOnly="1" outline="0"/>
    </format>
    <format dxfId="513">
      <pivotArea dataOnly="0" labelOnly="1" grandRow="1" outline="0" fieldPosition="0"/>
    </format>
    <format dxfId="512">
      <pivotArea dataOnly="0" labelOnly="1" outline="0" axis="axisValues" fieldPosition="0"/>
    </format>
    <format dxfId="511">
      <pivotArea outline="0" collapsedLevelsAreSubtotals="1" fieldPosition="0"/>
    </format>
    <format dxfId="510">
      <pivotArea dataOnly="0" labelOnly="1" outline="0" axis="axisValues" fieldPosition="0"/>
    </format>
    <format dxfId="509">
      <pivotArea type="all" dataOnly="0" outline="0" fieldPosition="0"/>
    </format>
    <format dxfId="508">
      <pivotArea outline="0" collapsedLevelsAreSubtotals="1" fieldPosition="0"/>
    </format>
    <format dxfId="507">
      <pivotArea field="8" type="button" dataOnly="0" labelOnly="1" outline="0" axis="axisRow" fieldPosition="0"/>
    </format>
    <format dxfId="506">
      <pivotArea dataOnly="0" labelOnly="1" fieldPosition="0">
        <references count="1">
          <reference field="8" count="0"/>
        </references>
      </pivotArea>
    </format>
    <format dxfId="50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893DA1E-190B-4080-A510-F82A9F85C307}" sourceName="Outlet Size">
  <pivotTables>
    <pivotTable tabId="5" name="PivotTable4"/>
    <pivotTable tabId="5" name="PivotTable5"/>
    <pivotTable tabId="5" name="PivotTable6"/>
    <pivotTable tabId="5" name="PivotTable7"/>
    <pivotTable tabId="5" name="PivotTable8"/>
    <pivotTable tabId="5" name="PivotTable9"/>
    <pivotTable tabId="5" name="PivotTable10"/>
    <pivotTable tabId="5" name="PivotTable15"/>
    <pivotTable tabId="5" name="PivotTable16"/>
  </pivotTables>
  <data>
    <tabular pivotCacheId="19635032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5C2CE6F-46F6-46E8-B7EE-1E3BC5893067}" sourceName="Outlet Location Type">
  <pivotTables>
    <pivotTable tabId="5" name="PivotTable7"/>
  </pivotTables>
  <data>
    <tabular pivotCacheId="19635032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C1A0C85-37FA-438B-860C-849EB137254E}" sourceName="Item Type">
  <pivotTables>
    <pivotTable tabId="5" name="PivotTable15"/>
    <pivotTable tabId="5" name="PivotTable10"/>
    <pivotTable tabId="5" name="PivotTable16"/>
    <pivotTable tabId="5" name="PivotTable4"/>
    <pivotTable tabId="5" name="PivotTable5"/>
    <pivotTable tabId="5" name="PivotTable6"/>
    <pivotTable tabId="5" name="PivotTable7"/>
    <pivotTable tabId="5" name="PivotTable8"/>
    <pivotTable tabId="5" name="PivotTable9"/>
  </pivotTables>
  <data>
    <tabular pivotCacheId="196350324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E5E2ADE-2F50-40C9-BEE6-91AA140C7A01}" cache="Slicer_Outlet_Size" caption="Outlet Size" rowHeight="257175"/>
  <slicer name="Outlet Location Type" xr10:uid="{6E21DB17-865F-451F-B804-F48807D000EA}" cache="Slicer_Outlet_Location_Type" caption="Outlet Location Type" rowHeight="257175"/>
  <slicer name="Item Type" xr10:uid="{03346172-AE49-4E0A-B8FA-477FFB9B003F}"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A6CA353-9F14-42C4-9BC2-3736B6C83E0C}" cache="Slicer_Outlet_Size" caption="Outlet Size" style="BLINKLIT ANALYSIS" rowHeight="257175"/>
  <slicer name="Outlet Location Type 1" xr10:uid="{4E1F516D-775D-4DC0-9D9F-89A5BB651D9C}" cache="Slicer_Outlet_Location_Type" caption="Outlet Location Type" style="BLINKLIT ANALYSIS" rowHeight="257175"/>
  <slicer name="Item Type 1" xr10:uid="{8BD57C3F-2B13-44EC-AD3B-4A16DD5072AB}" cache="Slicer_Item_Type" caption="Item Type" startItem="6" style="BLINKL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0DBD510-DBEC-4742-9859-43B7C0A3A81A}"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45" zoomScale="80" workbookViewId="0">
      <selection activeCell="B32" sqref="B32"/>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1613</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K11">
        <v>0</v>
      </c>
      <c r="L11">
        <v>181.92920000000001</v>
      </c>
      <c r="M11">
        <v>5</v>
      </c>
    </row>
    <row r="12" spans="1:13" x14ac:dyDescent="0.25">
      <c r="A12" t="s">
        <v>1610</v>
      </c>
      <c r="B12">
        <v>11</v>
      </c>
      <c r="C12" t="s">
        <v>47</v>
      </c>
      <c r="D12" t="s">
        <v>48</v>
      </c>
      <c r="E12">
        <v>2018</v>
      </c>
      <c r="F12" t="s">
        <v>45</v>
      </c>
      <c r="G12" t="s">
        <v>21</v>
      </c>
      <c r="H12" t="s">
        <v>15</v>
      </c>
      <c r="I12" t="s">
        <v>46</v>
      </c>
      <c r="J12">
        <v>8.4554568999999996E-2</v>
      </c>
      <c r="K12">
        <v>0</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K16">
        <v>0</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K20">
        <v>0</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K22">
        <v>0</v>
      </c>
      <c r="L22">
        <v>60.2194</v>
      </c>
      <c r="M22">
        <v>5</v>
      </c>
    </row>
    <row r="23" spans="1:13" x14ac:dyDescent="0.25">
      <c r="A23" t="s">
        <v>17</v>
      </c>
      <c r="B23">
        <v>22</v>
      </c>
      <c r="C23" t="s">
        <v>63</v>
      </c>
      <c r="D23" t="s">
        <v>64</v>
      </c>
      <c r="E23">
        <v>2018</v>
      </c>
      <c r="F23" t="s">
        <v>45</v>
      </c>
      <c r="G23" t="s">
        <v>21</v>
      </c>
      <c r="H23" t="s">
        <v>15</v>
      </c>
      <c r="I23" t="s">
        <v>46</v>
      </c>
      <c r="J23">
        <v>2.6916794000000001E-2</v>
      </c>
      <c r="K23">
        <v>0</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K29">
        <v>0</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K43">
        <v>0</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1610</v>
      </c>
      <c r="B49">
        <v>48</v>
      </c>
      <c r="C49" t="s">
        <v>92</v>
      </c>
      <c r="D49" t="s">
        <v>24</v>
      </c>
      <c r="E49">
        <v>2012</v>
      </c>
      <c r="F49" t="s">
        <v>13</v>
      </c>
      <c r="G49" t="s">
        <v>14</v>
      </c>
      <c r="H49" t="s">
        <v>15</v>
      </c>
      <c r="I49" t="s">
        <v>16</v>
      </c>
      <c r="J49">
        <v>1.3658248E-2</v>
      </c>
      <c r="K49">
        <v>17.5</v>
      </c>
      <c r="L49">
        <v>256.3304</v>
      </c>
      <c r="M49">
        <v>5</v>
      </c>
    </row>
    <row r="50" spans="1:13" x14ac:dyDescent="0.25">
      <c r="A50" t="s">
        <v>1610</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1610</v>
      </c>
      <c r="B93">
        <v>92</v>
      </c>
      <c r="C93" t="s">
        <v>137</v>
      </c>
      <c r="D93" t="s">
        <v>64</v>
      </c>
      <c r="E93">
        <v>2018</v>
      </c>
      <c r="F93" t="s">
        <v>138</v>
      </c>
      <c r="G93" t="s">
        <v>14</v>
      </c>
      <c r="H93" t="s">
        <v>26</v>
      </c>
      <c r="I93" t="s">
        <v>40</v>
      </c>
      <c r="J93">
        <v>2.3402893000000001E-2</v>
      </c>
      <c r="K93">
        <v>0</v>
      </c>
      <c r="L93">
        <v>108.22799999999999</v>
      </c>
      <c r="M93">
        <v>5</v>
      </c>
    </row>
    <row r="94" spans="1:13" x14ac:dyDescent="0.25">
      <c r="A94" t="s">
        <v>17</v>
      </c>
      <c r="B94">
        <v>93</v>
      </c>
      <c r="C94" t="s">
        <v>139</v>
      </c>
      <c r="D94" t="s">
        <v>28</v>
      </c>
      <c r="E94">
        <v>2018</v>
      </c>
      <c r="F94" t="s">
        <v>138</v>
      </c>
      <c r="G94" t="s">
        <v>14</v>
      </c>
      <c r="H94" t="s">
        <v>26</v>
      </c>
      <c r="I94" t="s">
        <v>40</v>
      </c>
      <c r="J94">
        <v>0.196490902</v>
      </c>
      <c r="K94">
        <v>0</v>
      </c>
      <c r="L94">
        <v>120.544</v>
      </c>
      <c r="M94">
        <v>5</v>
      </c>
    </row>
    <row r="95" spans="1:13" x14ac:dyDescent="0.25">
      <c r="A95" t="s">
        <v>17</v>
      </c>
      <c r="B95">
        <v>94</v>
      </c>
      <c r="C95" t="s">
        <v>140</v>
      </c>
      <c r="D95" t="s">
        <v>67</v>
      </c>
      <c r="E95">
        <v>2018</v>
      </c>
      <c r="F95" t="s">
        <v>138</v>
      </c>
      <c r="G95" t="s">
        <v>14</v>
      </c>
      <c r="H95" t="s">
        <v>26</v>
      </c>
      <c r="I95" t="s">
        <v>40</v>
      </c>
      <c r="J95">
        <v>0.24749009</v>
      </c>
      <c r="K95">
        <v>0</v>
      </c>
      <c r="L95">
        <v>263.1884</v>
      </c>
      <c r="M95">
        <v>5</v>
      </c>
    </row>
    <row r="96" spans="1:13" x14ac:dyDescent="0.25">
      <c r="A96" t="s">
        <v>17</v>
      </c>
      <c r="B96">
        <v>95</v>
      </c>
      <c r="C96" t="s">
        <v>141</v>
      </c>
      <c r="D96" t="s">
        <v>12</v>
      </c>
      <c r="E96">
        <v>2018</v>
      </c>
      <c r="F96" t="s">
        <v>138</v>
      </c>
      <c r="G96" t="s">
        <v>14</v>
      </c>
      <c r="H96" t="s">
        <v>26</v>
      </c>
      <c r="I96" t="s">
        <v>40</v>
      </c>
      <c r="J96">
        <v>3.7824734999999998E-2</v>
      </c>
      <c r="K96">
        <v>0</v>
      </c>
      <c r="L96">
        <v>109.72280000000001</v>
      </c>
      <c r="M96">
        <v>5</v>
      </c>
    </row>
    <row r="97" spans="1:13" x14ac:dyDescent="0.25">
      <c r="A97" t="s">
        <v>17</v>
      </c>
      <c r="B97">
        <v>96</v>
      </c>
      <c r="C97" t="s">
        <v>142</v>
      </c>
      <c r="D97" t="s">
        <v>12</v>
      </c>
      <c r="E97">
        <v>2018</v>
      </c>
      <c r="F97" t="s">
        <v>138</v>
      </c>
      <c r="G97" t="s">
        <v>14</v>
      </c>
      <c r="H97" t="s">
        <v>26</v>
      </c>
      <c r="I97" t="s">
        <v>40</v>
      </c>
      <c r="J97">
        <v>0.14210799800000001</v>
      </c>
      <c r="K97">
        <v>0</v>
      </c>
      <c r="L97">
        <v>150.3734</v>
      </c>
      <c r="M97">
        <v>5</v>
      </c>
    </row>
    <row r="98" spans="1:13" x14ac:dyDescent="0.25">
      <c r="A98" t="s">
        <v>17</v>
      </c>
      <c r="B98">
        <v>97</v>
      </c>
      <c r="C98" t="s">
        <v>143</v>
      </c>
      <c r="D98" t="s">
        <v>12</v>
      </c>
      <c r="E98">
        <v>2018</v>
      </c>
      <c r="F98" t="s">
        <v>138</v>
      </c>
      <c r="G98" t="s">
        <v>14</v>
      </c>
      <c r="H98" t="s">
        <v>26</v>
      </c>
      <c r="I98" t="s">
        <v>40</v>
      </c>
      <c r="J98">
        <v>4.5062129999999999E-2</v>
      </c>
      <c r="K98">
        <v>0</v>
      </c>
      <c r="L98">
        <v>167.54740000000001</v>
      </c>
      <c r="M98">
        <v>5</v>
      </c>
    </row>
    <row r="99" spans="1:13" x14ac:dyDescent="0.25">
      <c r="A99" t="s">
        <v>17</v>
      </c>
      <c r="B99">
        <v>98</v>
      </c>
      <c r="C99" t="s">
        <v>144</v>
      </c>
      <c r="D99" t="s">
        <v>19</v>
      </c>
      <c r="E99">
        <v>2018</v>
      </c>
      <c r="F99" t="s">
        <v>138</v>
      </c>
      <c r="G99" t="s">
        <v>14</v>
      </c>
      <c r="H99" t="s">
        <v>26</v>
      </c>
      <c r="I99" t="s">
        <v>40</v>
      </c>
      <c r="J99">
        <v>4.4000492000000002E-2</v>
      </c>
      <c r="K99">
        <v>0</v>
      </c>
      <c r="L99">
        <v>148.27340000000001</v>
      </c>
      <c r="M99">
        <v>5</v>
      </c>
    </row>
    <row r="100" spans="1:13" x14ac:dyDescent="0.25">
      <c r="A100" t="s">
        <v>17</v>
      </c>
      <c r="B100">
        <v>99</v>
      </c>
      <c r="C100" t="s">
        <v>145</v>
      </c>
      <c r="D100" t="s">
        <v>19</v>
      </c>
      <c r="E100">
        <v>2018</v>
      </c>
      <c r="F100" t="s">
        <v>138</v>
      </c>
      <c r="G100" t="s">
        <v>14</v>
      </c>
      <c r="H100" t="s">
        <v>26</v>
      </c>
      <c r="I100" t="s">
        <v>40</v>
      </c>
      <c r="J100">
        <v>0</v>
      </c>
      <c r="K100">
        <v>0</v>
      </c>
      <c r="L100">
        <v>123.473</v>
      </c>
      <c r="M100">
        <v>5</v>
      </c>
    </row>
    <row r="101" spans="1:13" x14ac:dyDescent="0.25">
      <c r="A101" t="s">
        <v>17</v>
      </c>
      <c r="B101">
        <v>100</v>
      </c>
      <c r="C101" t="s">
        <v>146</v>
      </c>
      <c r="D101" t="s">
        <v>19</v>
      </c>
      <c r="E101">
        <v>2018</v>
      </c>
      <c r="F101" t="s">
        <v>138</v>
      </c>
      <c r="G101" t="s">
        <v>14</v>
      </c>
      <c r="H101" t="s">
        <v>26</v>
      </c>
      <c r="I101" t="s">
        <v>40</v>
      </c>
      <c r="J101">
        <v>4.4607722000000002E-2</v>
      </c>
      <c r="K101">
        <v>0</v>
      </c>
      <c r="L101">
        <v>145.976</v>
      </c>
      <c r="M101">
        <v>5</v>
      </c>
    </row>
    <row r="102" spans="1:13" x14ac:dyDescent="0.25">
      <c r="A102" t="s">
        <v>17</v>
      </c>
      <c r="B102">
        <v>101</v>
      </c>
      <c r="C102" t="s">
        <v>147</v>
      </c>
      <c r="D102" t="s">
        <v>19</v>
      </c>
      <c r="E102">
        <v>2018</v>
      </c>
      <c r="F102" t="s">
        <v>138</v>
      </c>
      <c r="G102" t="s">
        <v>14</v>
      </c>
      <c r="H102" t="s">
        <v>26</v>
      </c>
      <c r="I102" t="s">
        <v>40</v>
      </c>
      <c r="J102">
        <v>3.1024168000000001E-2</v>
      </c>
      <c r="K102">
        <v>0</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K103">
        <v>0</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K104">
        <v>0</v>
      </c>
      <c r="L104">
        <v>244.346</v>
      </c>
      <c r="M104">
        <v>5</v>
      </c>
    </row>
    <row r="105" spans="1:13" x14ac:dyDescent="0.25">
      <c r="A105" t="s">
        <v>17</v>
      </c>
      <c r="B105">
        <v>104</v>
      </c>
      <c r="C105" t="s">
        <v>52</v>
      </c>
      <c r="D105" t="s">
        <v>42</v>
      </c>
      <c r="E105">
        <v>2018</v>
      </c>
      <c r="F105" t="s">
        <v>138</v>
      </c>
      <c r="G105" t="s">
        <v>14</v>
      </c>
      <c r="H105" t="s">
        <v>26</v>
      </c>
      <c r="I105" t="s">
        <v>40</v>
      </c>
      <c r="J105">
        <v>0.158562708</v>
      </c>
      <c r="K105">
        <v>0</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K106">
        <v>0</v>
      </c>
      <c r="L106">
        <v>167.7842</v>
      </c>
      <c r="M106">
        <v>5</v>
      </c>
    </row>
    <row r="107" spans="1:13" x14ac:dyDescent="0.25">
      <c r="A107" t="s">
        <v>17</v>
      </c>
      <c r="B107">
        <v>106</v>
      </c>
      <c r="C107" t="s">
        <v>151</v>
      </c>
      <c r="D107" t="s">
        <v>54</v>
      </c>
      <c r="E107">
        <v>2018</v>
      </c>
      <c r="F107" t="s">
        <v>138</v>
      </c>
      <c r="G107" t="s">
        <v>14</v>
      </c>
      <c r="H107" t="s">
        <v>26</v>
      </c>
      <c r="I107" t="s">
        <v>40</v>
      </c>
      <c r="J107">
        <v>2.9299175E-2</v>
      </c>
      <c r="K107">
        <v>0</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K108">
        <v>0</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K109">
        <v>0</v>
      </c>
      <c r="L109">
        <v>232.73</v>
      </c>
      <c r="M109">
        <v>5</v>
      </c>
    </row>
    <row r="110" spans="1:13" x14ac:dyDescent="0.25">
      <c r="A110" t="s">
        <v>10</v>
      </c>
      <c r="B110">
        <v>109</v>
      </c>
      <c r="C110" t="s">
        <v>155</v>
      </c>
      <c r="D110" t="s">
        <v>28</v>
      </c>
      <c r="E110">
        <v>2018</v>
      </c>
      <c r="F110" t="s">
        <v>138</v>
      </c>
      <c r="G110" t="s">
        <v>14</v>
      </c>
      <c r="H110" t="s">
        <v>26</v>
      </c>
      <c r="I110" t="s">
        <v>40</v>
      </c>
      <c r="J110">
        <v>0.18223655499999999</v>
      </c>
      <c r="K110">
        <v>0</v>
      </c>
      <c r="L110">
        <v>107.1622</v>
      </c>
      <c r="M110">
        <v>5</v>
      </c>
    </row>
    <row r="111" spans="1:13" x14ac:dyDescent="0.25">
      <c r="A111" t="s">
        <v>10</v>
      </c>
      <c r="B111">
        <v>110</v>
      </c>
      <c r="C111" t="s">
        <v>156</v>
      </c>
      <c r="D111" t="s">
        <v>12</v>
      </c>
      <c r="E111">
        <v>2018</v>
      </c>
      <c r="F111" t="s">
        <v>138</v>
      </c>
      <c r="G111" t="s">
        <v>14</v>
      </c>
      <c r="H111" t="s">
        <v>26</v>
      </c>
      <c r="I111" t="s">
        <v>40</v>
      </c>
      <c r="J111">
        <v>0.20916293599999999</v>
      </c>
      <c r="K111">
        <v>0</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K112">
        <v>0</v>
      </c>
      <c r="L112">
        <v>101.399</v>
      </c>
      <c r="M112">
        <v>5</v>
      </c>
    </row>
    <row r="113" spans="1:13" x14ac:dyDescent="0.25">
      <c r="A113" t="s">
        <v>10</v>
      </c>
      <c r="B113">
        <v>112</v>
      </c>
      <c r="C113" t="s">
        <v>158</v>
      </c>
      <c r="D113" t="s">
        <v>159</v>
      </c>
      <c r="E113">
        <v>2018</v>
      </c>
      <c r="F113" t="s">
        <v>138</v>
      </c>
      <c r="G113" t="s">
        <v>14</v>
      </c>
      <c r="H113" t="s">
        <v>26</v>
      </c>
      <c r="I113" t="s">
        <v>40</v>
      </c>
      <c r="J113">
        <v>1.2327846999999999E-2</v>
      </c>
      <c r="K113">
        <v>0</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K114">
        <v>0</v>
      </c>
      <c r="L114">
        <v>103.76739999999999</v>
      </c>
      <c r="M114">
        <v>5</v>
      </c>
    </row>
    <row r="115" spans="1:13" x14ac:dyDescent="0.25">
      <c r="A115" t="s">
        <v>10</v>
      </c>
      <c r="B115">
        <v>114</v>
      </c>
      <c r="C115" t="s">
        <v>161</v>
      </c>
      <c r="D115" t="s">
        <v>24</v>
      </c>
      <c r="E115">
        <v>2018</v>
      </c>
      <c r="F115" t="s">
        <v>138</v>
      </c>
      <c r="G115" t="s">
        <v>14</v>
      </c>
      <c r="H115" t="s">
        <v>26</v>
      </c>
      <c r="I115" t="s">
        <v>40</v>
      </c>
      <c r="J115">
        <v>0</v>
      </c>
      <c r="K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1610</v>
      </c>
      <c r="B152">
        <v>151</v>
      </c>
      <c r="C152" t="s">
        <v>66</v>
      </c>
      <c r="D152" t="s">
        <v>67</v>
      </c>
      <c r="E152">
        <v>2015</v>
      </c>
      <c r="F152" t="s">
        <v>33</v>
      </c>
      <c r="G152" t="s">
        <v>34</v>
      </c>
      <c r="H152" t="s">
        <v>15</v>
      </c>
      <c r="I152" t="s">
        <v>16</v>
      </c>
      <c r="J152">
        <v>0</v>
      </c>
      <c r="K152">
        <v>17.25</v>
      </c>
      <c r="L152">
        <v>171.57640000000001</v>
      </c>
      <c r="M152">
        <v>5</v>
      </c>
    </row>
    <row r="153" spans="1:13" x14ac:dyDescent="0.25">
      <c r="A153" t="s">
        <v>1610</v>
      </c>
      <c r="B153">
        <v>152</v>
      </c>
      <c r="C153" t="s">
        <v>196</v>
      </c>
      <c r="D153" t="s">
        <v>19</v>
      </c>
      <c r="E153">
        <v>2020</v>
      </c>
      <c r="F153" t="s">
        <v>37</v>
      </c>
      <c r="G153" t="s">
        <v>34</v>
      </c>
      <c r="H153" t="s">
        <v>15</v>
      </c>
      <c r="I153" t="s">
        <v>16</v>
      </c>
      <c r="J153">
        <v>0</v>
      </c>
      <c r="K153">
        <v>12.15</v>
      </c>
      <c r="L153">
        <v>39.150599999999997</v>
      </c>
      <c r="M153">
        <v>5</v>
      </c>
    </row>
    <row r="154" spans="1:13" x14ac:dyDescent="0.25">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K395">
        <v>0</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K396">
        <v>0</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K397">
        <v>0</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K398">
        <v>0</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K399">
        <v>0</v>
      </c>
      <c r="L399">
        <v>148.9392</v>
      </c>
      <c r="M399">
        <v>5</v>
      </c>
    </row>
    <row r="400" spans="1:13" x14ac:dyDescent="0.25">
      <c r="A400" t="s">
        <v>17</v>
      </c>
      <c r="B400">
        <v>399</v>
      </c>
      <c r="C400" t="s">
        <v>408</v>
      </c>
      <c r="D400" t="s">
        <v>24</v>
      </c>
      <c r="E400">
        <v>2018</v>
      </c>
      <c r="F400" t="s">
        <v>45</v>
      </c>
      <c r="G400" t="s">
        <v>21</v>
      </c>
      <c r="H400" t="s">
        <v>15</v>
      </c>
      <c r="I400" t="s">
        <v>46</v>
      </c>
      <c r="J400">
        <v>9.5331432999999993E-2</v>
      </c>
      <c r="K400">
        <v>0</v>
      </c>
      <c r="L400">
        <v>125.56780000000001</v>
      </c>
      <c r="M400">
        <v>5</v>
      </c>
    </row>
    <row r="401" spans="1:13" x14ac:dyDescent="0.25">
      <c r="A401" t="s">
        <v>17</v>
      </c>
      <c r="B401">
        <v>400</v>
      </c>
      <c r="C401" t="s">
        <v>409</v>
      </c>
      <c r="D401" t="s">
        <v>12</v>
      </c>
      <c r="E401">
        <v>2018</v>
      </c>
      <c r="F401" t="s">
        <v>45</v>
      </c>
      <c r="G401" t="s">
        <v>21</v>
      </c>
      <c r="H401" t="s">
        <v>15</v>
      </c>
      <c r="I401" t="s">
        <v>46</v>
      </c>
      <c r="J401">
        <v>0</v>
      </c>
      <c r="K401">
        <v>0</v>
      </c>
      <c r="L401">
        <v>231.96420000000001</v>
      </c>
      <c r="M401">
        <v>5</v>
      </c>
    </row>
    <row r="402" spans="1:13" x14ac:dyDescent="0.25">
      <c r="A402" t="s">
        <v>17</v>
      </c>
      <c r="B402">
        <v>401</v>
      </c>
      <c r="C402" t="s">
        <v>43</v>
      </c>
      <c r="D402" t="s">
        <v>12</v>
      </c>
      <c r="E402">
        <v>2018</v>
      </c>
      <c r="F402" t="s">
        <v>45</v>
      </c>
      <c r="G402" t="s">
        <v>21</v>
      </c>
      <c r="H402" t="s">
        <v>15</v>
      </c>
      <c r="I402" t="s">
        <v>46</v>
      </c>
      <c r="J402">
        <v>2.4032484E-2</v>
      </c>
      <c r="K402">
        <v>0</v>
      </c>
      <c r="L402">
        <v>124.973</v>
      </c>
      <c r="M402">
        <v>5</v>
      </c>
    </row>
    <row r="403" spans="1:13" x14ac:dyDescent="0.25">
      <c r="A403" t="s">
        <v>17</v>
      </c>
      <c r="B403">
        <v>402</v>
      </c>
      <c r="C403" t="s">
        <v>60</v>
      </c>
      <c r="D403" t="s">
        <v>61</v>
      </c>
      <c r="E403">
        <v>2018</v>
      </c>
      <c r="F403" t="s">
        <v>45</v>
      </c>
      <c r="G403" t="s">
        <v>21</v>
      </c>
      <c r="H403" t="s">
        <v>15</v>
      </c>
      <c r="I403" t="s">
        <v>46</v>
      </c>
      <c r="J403">
        <v>1.6745263999999999E-2</v>
      </c>
      <c r="K403">
        <v>0</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K404">
        <v>0</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K405">
        <v>0</v>
      </c>
      <c r="L405">
        <v>53.495600000000003</v>
      </c>
      <c r="M405">
        <v>5</v>
      </c>
    </row>
    <row r="406" spans="1:13" x14ac:dyDescent="0.25">
      <c r="A406" t="s">
        <v>17</v>
      </c>
      <c r="B406">
        <v>405</v>
      </c>
      <c r="C406" t="s">
        <v>412</v>
      </c>
      <c r="D406" t="s">
        <v>42</v>
      </c>
      <c r="E406">
        <v>2018</v>
      </c>
      <c r="F406" t="s">
        <v>45</v>
      </c>
      <c r="G406" t="s">
        <v>21</v>
      </c>
      <c r="H406" t="s">
        <v>15</v>
      </c>
      <c r="I406" t="s">
        <v>46</v>
      </c>
      <c r="J406">
        <v>0.12929931</v>
      </c>
      <c r="K406">
        <v>0</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K407">
        <v>0</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K408">
        <v>0</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K409">
        <v>0</v>
      </c>
      <c r="L409">
        <v>39.279600000000002</v>
      </c>
      <c r="M409">
        <v>5</v>
      </c>
    </row>
    <row r="410" spans="1:13" x14ac:dyDescent="0.25">
      <c r="A410" t="s">
        <v>17</v>
      </c>
      <c r="B410">
        <v>409</v>
      </c>
      <c r="C410" t="s">
        <v>382</v>
      </c>
      <c r="D410" t="s">
        <v>42</v>
      </c>
      <c r="E410">
        <v>2018</v>
      </c>
      <c r="F410" t="s">
        <v>45</v>
      </c>
      <c r="G410" t="s">
        <v>21</v>
      </c>
      <c r="H410" t="s">
        <v>15</v>
      </c>
      <c r="I410" t="s">
        <v>46</v>
      </c>
      <c r="J410">
        <v>1.4153743E-2</v>
      </c>
      <c r="K410">
        <v>0</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K411">
        <v>0</v>
      </c>
      <c r="L411">
        <v>166.54740000000001</v>
      </c>
      <c r="M411">
        <v>5</v>
      </c>
    </row>
    <row r="412" spans="1:13" x14ac:dyDescent="0.25">
      <c r="A412" t="s">
        <v>17</v>
      </c>
      <c r="B412">
        <v>411</v>
      </c>
      <c r="C412" t="s">
        <v>415</v>
      </c>
      <c r="D412" t="s">
        <v>64</v>
      </c>
      <c r="E412">
        <v>2018</v>
      </c>
      <c r="F412" t="s">
        <v>45</v>
      </c>
      <c r="G412" t="s">
        <v>21</v>
      </c>
      <c r="H412" t="s">
        <v>15</v>
      </c>
      <c r="I412" t="s">
        <v>46</v>
      </c>
      <c r="J412">
        <v>0.117607719</v>
      </c>
      <c r="K412">
        <v>0</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K413">
        <v>0</v>
      </c>
      <c r="L413">
        <v>154.7998</v>
      </c>
      <c r="M413">
        <v>5</v>
      </c>
    </row>
    <row r="414" spans="1:13" x14ac:dyDescent="0.25">
      <c r="A414" t="s">
        <v>17</v>
      </c>
      <c r="B414">
        <v>413</v>
      </c>
      <c r="C414" t="s">
        <v>417</v>
      </c>
      <c r="D414" t="s">
        <v>48</v>
      </c>
      <c r="E414">
        <v>2018</v>
      </c>
      <c r="F414" t="s">
        <v>45</v>
      </c>
      <c r="G414" t="s">
        <v>21</v>
      </c>
      <c r="H414" t="s">
        <v>15</v>
      </c>
      <c r="I414" t="s">
        <v>46</v>
      </c>
      <c r="J414">
        <v>9.9478450999999996E-2</v>
      </c>
      <c r="K414">
        <v>0</v>
      </c>
      <c r="L414">
        <v>194.4452</v>
      </c>
      <c r="M414">
        <v>5</v>
      </c>
    </row>
    <row r="415" spans="1:13" x14ac:dyDescent="0.25">
      <c r="A415" t="s">
        <v>17</v>
      </c>
      <c r="B415">
        <v>414</v>
      </c>
      <c r="C415" t="s">
        <v>418</v>
      </c>
      <c r="D415" t="s">
        <v>48</v>
      </c>
      <c r="E415">
        <v>2018</v>
      </c>
      <c r="F415" t="s">
        <v>45</v>
      </c>
      <c r="G415" t="s">
        <v>21</v>
      </c>
      <c r="H415" t="s">
        <v>15</v>
      </c>
      <c r="I415" t="s">
        <v>46</v>
      </c>
      <c r="J415">
        <v>3.3725743000000002E-2</v>
      </c>
      <c r="K415">
        <v>0</v>
      </c>
      <c r="L415">
        <v>211.6902</v>
      </c>
      <c r="M415">
        <v>5</v>
      </c>
    </row>
    <row r="416" spans="1:13" x14ac:dyDescent="0.25">
      <c r="A416" t="s">
        <v>17</v>
      </c>
      <c r="B416">
        <v>415</v>
      </c>
      <c r="C416" t="s">
        <v>356</v>
      </c>
      <c r="D416" t="s">
        <v>32</v>
      </c>
      <c r="E416">
        <v>2018</v>
      </c>
      <c r="F416" t="s">
        <v>45</v>
      </c>
      <c r="G416" t="s">
        <v>21</v>
      </c>
      <c r="H416" t="s">
        <v>15</v>
      </c>
      <c r="I416" t="s">
        <v>46</v>
      </c>
      <c r="J416">
        <v>5.3113721000000003E-2</v>
      </c>
      <c r="K416">
        <v>0</v>
      </c>
      <c r="L416">
        <v>44.377000000000002</v>
      </c>
      <c r="M416">
        <v>5</v>
      </c>
    </row>
    <row r="417" spans="1:13" x14ac:dyDescent="0.25">
      <c r="A417" t="s">
        <v>10</v>
      </c>
      <c r="B417">
        <v>416</v>
      </c>
      <c r="C417" t="s">
        <v>419</v>
      </c>
      <c r="D417" t="s">
        <v>95</v>
      </c>
      <c r="E417">
        <v>2018</v>
      </c>
      <c r="F417" t="s">
        <v>45</v>
      </c>
      <c r="G417" t="s">
        <v>21</v>
      </c>
      <c r="H417" t="s">
        <v>15</v>
      </c>
      <c r="I417" t="s">
        <v>46</v>
      </c>
      <c r="J417">
        <v>0</v>
      </c>
      <c r="K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K418">
        <v>0</v>
      </c>
      <c r="L418">
        <v>122.4098</v>
      </c>
      <c r="M418">
        <v>5</v>
      </c>
    </row>
    <row r="419" spans="1:13" x14ac:dyDescent="0.25">
      <c r="A419" t="s">
        <v>10</v>
      </c>
      <c r="B419">
        <v>418</v>
      </c>
      <c r="C419" t="s">
        <v>421</v>
      </c>
      <c r="D419" t="s">
        <v>95</v>
      </c>
      <c r="E419">
        <v>2018</v>
      </c>
      <c r="F419" t="s">
        <v>45</v>
      </c>
      <c r="G419" t="s">
        <v>21</v>
      </c>
      <c r="H419" t="s">
        <v>15</v>
      </c>
      <c r="I419" t="s">
        <v>46</v>
      </c>
      <c r="J419">
        <v>0.13948429200000001</v>
      </c>
      <c r="K419">
        <v>0</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K420">
        <v>0</v>
      </c>
      <c r="L420">
        <v>169.34739999999999</v>
      </c>
      <c r="M420">
        <v>5</v>
      </c>
    </row>
    <row r="421" spans="1:13" x14ac:dyDescent="0.25">
      <c r="A421" t="s">
        <v>10</v>
      </c>
      <c r="B421">
        <v>420</v>
      </c>
      <c r="C421" t="s">
        <v>423</v>
      </c>
      <c r="D421" t="s">
        <v>28</v>
      </c>
      <c r="E421">
        <v>2018</v>
      </c>
      <c r="F421" t="s">
        <v>45</v>
      </c>
      <c r="G421" t="s">
        <v>21</v>
      </c>
      <c r="H421" t="s">
        <v>15</v>
      </c>
      <c r="I421" t="s">
        <v>46</v>
      </c>
      <c r="J421">
        <v>0.102226474</v>
      </c>
      <c r="K421">
        <v>0</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K422">
        <v>0</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K423">
        <v>0</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K424">
        <v>0</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K425">
        <v>0</v>
      </c>
      <c r="L425">
        <v>172.108</v>
      </c>
      <c r="M425">
        <v>5</v>
      </c>
    </row>
    <row r="426" spans="1:13" x14ac:dyDescent="0.25">
      <c r="A426" t="s">
        <v>10</v>
      </c>
      <c r="B426">
        <v>425</v>
      </c>
      <c r="C426" t="s">
        <v>427</v>
      </c>
      <c r="D426" t="s">
        <v>12</v>
      </c>
      <c r="E426">
        <v>2018</v>
      </c>
      <c r="F426" t="s">
        <v>45</v>
      </c>
      <c r="G426" t="s">
        <v>21</v>
      </c>
      <c r="H426" t="s">
        <v>15</v>
      </c>
      <c r="I426" t="s">
        <v>46</v>
      </c>
      <c r="J426">
        <v>3.8313980999999997E-2</v>
      </c>
      <c r="K426">
        <v>0</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K427">
        <v>0</v>
      </c>
      <c r="L427">
        <v>148.4708</v>
      </c>
      <c r="M427">
        <v>5</v>
      </c>
    </row>
    <row r="428" spans="1:13" x14ac:dyDescent="0.25">
      <c r="A428" t="s">
        <v>10</v>
      </c>
      <c r="B428">
        <v>427</v>
      </c>
      <c r="C428" t="s">
        <v>261</v>
      </c>
      <c r="D428" t="s">
        <v>48</v>
      </c>
      <c r="E428">
        <v>2018</v>
      </c>
      <c r="F428" t="s">
        <v>45</v>
      </c>
      <c r="G428" t="s">
        <v>21</v>
      </c>
      <c r="H428" t="s">
        <v>15</v>
      </c>
      <c r="I428" t="s">
        <v>46</v>
      </c>
      <c r="J428">
        <v>1.0928678000000001E-2</v>
      </c>
      <c r="K428">
        <v>0</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K431">
        <v>0</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K442">
        <v>0</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K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K451">
        <v>0</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1610</v>
      </c>
      <c r="B459">
        <v>458</v>
      </c>
      <c r="C459" t="s">
        <v>452</v>
      </c>
      <c r="D459" t="s">
        <v>24</v>
      </c>
      <c r="E459">
        <v>2018</v>
      </c>
      <c r="F459" t="s">
        <v>138</v>
      </c>
      <c r="G459" t="s">
        <v>14</v>
      </c>
      <c r="H459" t="s">
        <v>26</v>
      </c>
      <c r="I459" t="s">
        <v>40</v>
      </c>
      <c r="J459">
        <v>0.14359158599999999</v>
      </c>
      <c r="K459">
        <v>0</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K460">
        <v>0</v>
      </c>
      <c r="L460">
        <v>230.001</v>
      </c>
      <c r="M460">
        <v>4.8</v>
      </c>
    </row>
    <row r="461" spans="1:13" x14ac:dyDescent="0.25">
      <c r="A461" t="s">
        <v>17</v>
      </c>
      <c r="B461">
        <v>460</v>
      </c>
      <c r="C461" t="s">
        <v>454</v>
      </c>
      <c r="D461" t="s">
        <v>67</v>
      </c>
      <c r="E461">
        <v>2018</v>
      </c>
      <c r="F461" t="s">
        <v>138</v>
      </c>
      <c r="G461" t="s">
        <v>14</v>
      </c>
      <c r="H461" t="s">
        <v>26</v>
      </c>
      <c r="I461" t="s">
        <v>40</v>
      </c>
      <c r="J461">
        <v>0</v>
      </c>
      <c r="K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K462">
        <v>0</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K463">
        <v>0</v>
      </c>
      <c r="L463">
        <v>126.2704</v>
      </c>
      <c r="M463">
        <v>4.8</v>
      </c>
    </row>
    <row r="464" spans="1:13" x14ac:dyDescent="0.25">
      <c r="A464" t="s">
        <v>10</v>
      </c>
      <c r="B464">
        <v>463</v>
      </c>
      <c r="C464" t="s">
        <v>457</v>
      </c>
      <c r="D464" t="s">
        <v>54</v>
      </c>
      <c r="E464">
        <v>2018</v>
      </c>
      <c r="F464" t="s">
        <v>138</v>
      </c>
      <c r="G464" t="s">
        <v>14</v>
      </c>
      <c r="H464" t="s">
        <v>26</v>
      </c>
      <c r="I464" t="s">
        <v>40</v>
      </c>
      <c r="J464">
        <v>5.8545606E-2</v>
      </c>
      <c r="K464">
        <v>0</v>
      </c>
      <c r="L464">
        <v>155.8314</v>
      </c>
      <c r="M464">
        <v>4.8</v>
      </c>
    </row>
    <row r="465" spans="1:13" x14ac:dyDescent="0.25">
      <c r="A465" t="s">
        <v>10</v>
      </c>
      <c r="B465">
        <v>464</v>
      </c>
      <c r="C465" t="s">
        <v>458</v>
      </c>
      <c r="D465" t="s">
        <v>48</v>
      </c>
      <c r="E465">
        <v>2018</v>
      </c>
      <c r="F465" t="s">
        <v>138</v>
      </c>
      <c r="G465" t="s">
        <v>14</v>
      </c>
      <c r="H465" t="s">
        <v>26</v>
      </c>
      <c r="I465" t="s">
        <v>40</v>
      </c>
      <c r="J465">
        <v>8.0127282999999994E-2</v>
      </c>
      <c r="K465">
        <v>0</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K503">
        <v>0</v>
      </c>
      <c r="L503">
        <v>152.8682</v>
      </c>
      <c r="M503">
        <v>4.8</v>
      </c>
    </row>
    <row r="504" spans="1:13" x14ac:dyDescent="0.25">
      <c r="A504" t="s">
        <v>10</v>
      </c>
      <c r="B504">
        <v>503</v>
      </c>
      <c r="C504" t="s">
        <v>489</v>
      </c>
      <c r="D504" t="s">
        <v>54</v>
      </c>
      <c r="E504">
        <v>2018</v>
      </c>
      <c r="F504" t="s">
        <v>45</v>
      </c>
      <c r="G504" t="s">
        <v>21</v>
      </c>
      <c r="H504" t="s">
        <v>15</v>
      </c>
      <c r="I504" t="s">
        <v>46</v>
      </c>
      <c r="J504">
        <v>3.670437E-2</v>
      </c>
      <c r="K504">
        <v>0</v>
      </c>
      <c r="L504">
        <v>228.1352</v>
      </c>
      <c r="M504">
        <v>4.8</v>
      </c>
    </row>
    <row r="505" spans="1:13" x14ac:dyDescent="0.25">
      <c r="A505" t="s">
        <v>10</v>
      </c>
      <c r="B505">
        <v>504</v>
      </c>
      <c r="C505" t="s">
        <v>490</v>
      </c>
      <c r="D505" t="s">
        <v>159</v>
      </c>
      <c r="E505">
        <v>2018</v>
      </c>
      <c r="F505" t="s">
        <v>45</v>
      </c>
      <c r="G505" t="s">
        <v>21</v>
      </c>
      <c r="H505" t="s">
        <v>15</v>
      </c>
      <c r="I505" t="s">
        <v>46</v>
      </c>
      <c r="J505">
        <v>5.436436E-2</v>
      </c>
      <c r="K505">
        <v>0</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K509">
        <v>0</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K523">
        <v>0</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K524">
        <v>0</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K525">
        <v>0</v>
      </c>
      <c r="L525">
        <v>62.119399999999999</v>
      </c>
      <c r="M525">
        <v>4.7</v>
      </c>
    </row>
    <row r="526" spans="1:13" x14ac:dyDescent="0.25">
      <c r="A526" t="s">
        <v>10</v>
      </c>
      <c r="B526">
        <v>525</v>
      </c>
      <c r="C526" t="s">
        <v>504</v>
      </c>
      <c r="D526" t="s">
        <v>48</v>
      </c>
      <c r="E526">
        <v>2018</v>
      </c>
      <c r="F526" t="s">
        <v>138</v>
      </c>
      <c r="G526" t="s">
        <v>14</v>
      </c>
      <c r="H526" t="s">
        <v>26</v>
      </c>
      <c r="I526" t="s">
        <v>40</v>
      </c>
      <c r="J526">
        <v>0.127599399</v>
      </c>
      <c r="K526">
        <v>0</v>
      </c>
      <c r="L526">
        <v>118.9098</v>
      </c>
      <c r="M526">
        <v>4.7</v>
      </c>
    </row>
    <row r="527" spans="1:13" x14ac:dyDescent="0.25">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K579">
        <v>0</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K580">
        <v>0</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K581">
        <v>0</v>
      </c>
      <c r="L581">
        <v>192.5162</v>
      </c>
      <c r="M581">
        <v>4.7</v>
      </c>
    </row>
    <row r="582" spans="1:13" x14ac:dyDescent="0.25">
      <c r="A582" t="s">
        <v>17</v>
      </c>
      <c r="B582">
        <v>581</v>
      </c>
      <c r="C582" t="s">
        <v>539</v>
      </c>
      <c r="D582" t="s">
        <v>42</v>
      </c>
      <c r="E582">
        <v>2018</v>
      </c>
      <c r="F582" t="s">
        <v>45</v>
      </c>
      <c r="G582" t="s">
        <v>21</v>
      </c>
      <c r="H582" t="s">
        <v>15</v>
      </c>
      <c r="I582" t="s">
        <v>46</v>
      </c>
      <c r="J582">
        <v>4.1091215E-2</v>
      </c>
      <c r="K582">
        <v>0</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K583">
        <v>0</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K584">
        <v>0</v>
      </c>
      <c r="L584">
        <v>146.61019999999999</v>
      </c>
      <c r="M584">
        <v>4.7</v>
      </c>
    </row>
    <row r="585" spans="1:13" x14ac:dyDescent="0.25">
      <c r="A585" t="s">
        <v>17</v>
      </c>
      <c r="B585">
        <v>584</v>
      </c>
      <c r="C585" t="s">
        <v>542</v>
      </c>
      <c r="D585" t="s">
        <v>95</v>
      </c>
      <c r="E585">
        <v>2018</v>
      </c>
      <c r="F585" t="s">
        <v>138</v>
      </c>
      <c r="G585" t="s">
        <v>14</v>
      </c>
      <c r="H585" t="s">
        <v>26</v>
      </c>
      <c r="I585" t="s">
        <v>40</v>
      </c>
      <c r="J585">
        <v>0.113720344</v>
      </c>
      <c r="K585">
        <v>0</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K586">
        <v>0</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K589">
        <v>0</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K600">
        <v>0</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K601">
        <v>0</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K677">
        <v>0</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K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K679">
        <v>0</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K680">
        <v>0</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K681">
        <v>0</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K682">
        <v>0</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K683">
        <v>0</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K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K685">
        <v>0</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K686">
        <v>0</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K698">
        <v>0</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K700">
        <v>0</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K746">
        <v>0</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K747">
        <v>0</v>
      </c>
      <c r="L747">
        <v>163.221</v>
      </c>
      <c r="M747">
        <v>4.5</v>
      </c>
    </row>
    <row r="748" spans="1:13" x14ac:dyDescent="0.25">
      <c r="A748" t="s">
        <v>17</v>
      </c>
      <c r="B748">
        <v>747</v>
      </c>
      <c r="C748" t="s">
        <v>413</v>
      </c>
      <c r="D748" t="s">
        <v>42</v>
      </c>
      <c r="E748">
        <v>2018</v>
      </c>
      <c r="F748" t="s">
        <v>138</v>
      </c>
      <c r="G748" t="s">
        <v>14</v>
      </c>
      <c r="H748" t="s">
        <v>26</v>
      </c>
      <c r="I748" t="s">
        <v>40</v>
      </c>
      <c r="J748">
        <v>0.12998368799999999</v>
      </c>
      <c r="K748">
        <v>0</v>
      </c>
      <c r="L748">
        <v>93.046199999999999</v>
      </c>
      <c r="M748">
        <v>4.5</v>
      </c>
    </row>
    <row r="749" spans="1:13" x14ac:dyDescent="0.25">
      <c r="A749" t="s">
        <v>17</v>
      </c>
      <c r="B749">
        <v>748</v>
      </c>
      <c r="C749" t="s">
        <v>651</v>
      </c>
      <c r="D749" t="s">
        <v>42</v>
      </c>
      <c r="E749">
        <v>2018</v>
      </c>
      <c r="F749" t="s">
        <v>138</v>
      </c>
      <c r="G749" t="s">
        <v>14</v>
      </c>
      <c r="H749" t="s">
        <v>26</v>
      </c>
      <c r="I749" t="s">
        <v>40</v>
      </c>
      <c r="J749">
        <v>2.7532258E-2</v>
      </c>
      <c r="K749">
        <v>0</v>
      </c>
      <c r="L749">
        <v>185.0608</v>
      </c>
      <c r="M749">
        <v>4.5</v>
      </c>
    </row>
    <row r="750" spans="1:13" x14ac:dyDescent="0.25">
      <c r="A750" t="s">
        <v>17</v>
      </c>
      <c r="B750">
        <v>749</v>
      </c>
      <c r="C750" t="s">
        <v>652</v>
      </c>
      <c r="D750" t="s">
        <v>42</v>
      </c>
      <c r="E750">
        <v>2018</v>
      </c>
      <c r="F750" t="s">
        <v>138</v>
      </c>
      <c r="G750" t="s">
        <v>14</v>
      </c>
      <c r="H750" t="s">
        <v>26</v>
      </c>
      <c r="I750" t="s">
        <v>40</v>
      </c>
      <c r="J750">
        <v>7.3229342000000003E-2</v>
      </c>
      <c r="K750">
        <v>0</v>
      </c>
      <c r="L750">
        <v>254.10140000000001</v>
      </c>
      <c r="M750">
        <v>4.5</v>
      </c>
    </row>
    <row r="751" spans="1:13" x14ac:dyDescent="0.25">
      <c r="A751" t="s">
        <v>17</v>
      </c>
      <c r="B751">
        <v>750</v>
      </c>
      <c r="C751" t="s">
        <v>653</v>
      </c>
      <c r="D751" t="s">
        <v>42</v>
      </c>
      <c r="E751">
        <v>2018</v>
      </c>
      <c r="F751" t="s">
        <v>138</v>
      </c>
      <c r="G751" t="s">
        <v>14</v>
      </c>
      <c r="H751" t="s">
        <v>26</v>
      </c>
      <c r="I751" t="s">
        <v>40</v>
      </c>
      <c r="J751">
        <v>0.116750407</v>
      </c>
      <c r="K751">
        <v>0</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K752">
        <v>0</v>
      </c>
      <c r="L752">
        <v>160.95519999999999</v>
      </c>
      <c r="M752">
        <v>4.5</v>
      </c>
    </row>
    <row r="753" spans="1:13" x14ac:dyDescent="0.25">
      <c r="A753" t="s">
        <v>17</v>
      </c>
      <c r="B753">
        <v>752</v>
      </c>
      <c r="C753" t="s">
        <v>468</v>
      </c>
      <c r="D753" t="s">
        <v>64</v>
      </c>
      <c r="E753">
        <v>2018</v>
      </c>
      <c r="F753" t="s">
        <v>138</v>
      </c>
      <c r="G753" t="s">
        <v>14</v>
      </c>
      <c r="H753" t="s">
        <v>26</v>
      </c>
      <c r="I753" t="s">
        <v>40</v>
      </c>
      <c r="J753">
        <v>3.5997636E-2</v>
      </c>
      <c r="K753">
        <v>0</v>
      </c>
      <c r="L753">
        <v>78.661799999999999</v>
      </c>
      <c r="M753">
        <v>4.5</v>
      </c>
    </row>
    <row r="754" spans="1:13" x14ac:dyDescent="0.25">
      <c r="A754" t="s">
        <v>17</v>
      </c>
      <c r="B754">
        <v>753</v>
      </c>
      <c r="C754" t="s">
        <v>469</v>
      </c>
      <c r="D754" t="s">
        <v>48</v>
      </c>
      <c r="E754">
        <v>2018</v>
      </c>
      <c r="F754" t="s">
        <v>138</v>
      </c>
      <c r="G754" t="s">
        <v>14</v>
      </c>
      <c r="H754" t="s">
        <v>26</v>
      </c>
      <c r="I754" t="s">
        <v>40</v>
      </c>
      <c r="J754">
        <v>0.164006137</v>
      </c>
      <c r="K754">
        <v>0</v>
      </c>
      <c r="L754">
        <v>113.2834</v>
      </c>
      <c r="M754">
        <v>4.5</v>
      </c>
    </row>
    <row r="755" spans="1:13" x14ac:dyDescent="0.25">
      <c r="A755" t="s">
        <v>17</v>
      </c>
      <c r="B755">
        <v>754</v>
      </c>
      <c r="C755" t="s">
        <v>655</v>
      </c>
      <c r="D755" t="s">
        <v>48</v>
      </c>
      <c r="E755">
        <v>2018</v>
      </c>
      <c r="F755" t="s">
        <v>138</v>
      </c>
      <c r="G755" t="s">
        <v>14</v>
      </c>
      <c r="H755" t="s">
        <v>26</v>
      </c>
      <c r="I755" t="s">
        <v>40</v>
      </c>
      <c r="J755">
        <v>4.6903970000000003E-2</v>
      </c>
      <c r="K755">
        <v>0</v>
      </c>
      <c r="L755">
        <v>110.657</v>
      </c>
      <c r="M755">
        <v>4.5</v>
      </c>
    </row>
    <row r="756" spans="1:13" x14ac:dyDescent="0.25">
      <c r="A756" t="s">
        <v>17</v>
      </c>
      <c r="B756">
        <v>755</v>
      </c>
      <c r="C756" t="s">
        <v>656</v>
      </c>
      <c r="D756" t="s">
        <v>48</v>
      </c>
      <c r="E756">
        <v>2018</v>
      </c>
      <c r="F756" t="s">
        <v>138</v>
      </c>
      <c r="G756" t="s">
        <v>14</v>
      </c>
      <c r="H756" t="s">
        <v>26</v>
      </c>
      <c r="I756" t="s">
        <v>40</v>
      </c>
      <c r="J756">
        <v>0.18111405899999999</v>
      </c>
      <c r="K756">
        <v>0</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K757">
        <v>0</v>
      </c>
      <c r="L757">
        <v>173.07380000000001</v>
      </c>
      <c r="M757">
        <v>4.5</v>
      </c>
    </row>
    <row r="758" spans="1:13" x14ac:dyDescent="0.25">
      <c r="A758" t="s">
        <v>10</v>
      </c>
      <c r="B758">
        <v>757</v>
      </c>
      <c r="C758" t="s">
        <v>319</v>
      </c>
      <c r="D758" t="s">
        <v>48</v>
      </c>
      <c r="E758">
        <v>2018</v>
      </c>
      <c r="F758" t="s">
        <v>138</v>
      </c>
      <c r="G758" t="s">
        <v>14</v>
      </c>
      <c r="H758" t="s">
        <v>26</v>
      </c>
      <c r="I758" t="s">
        <v>40</v>
      </c>
      <c r="J758">
        <v>0.184359831</v>
      </c>
      <c r="K758">
        <v>0</v>
      </c>
      <c r="L758">
        <v>172.6764</v>
      </c>
      <c r="M758">
        <v>4.5</v>
      </c>
    </row>
    <row r="759" spans="1:13" x14ac:dyDescent="0.25">
      <c r="A759" t="s">
        <v>10</v>
      </c>
      <c r="B759">
        <v>758</v>
      </c>
      <c r="C759" t="s">
        <v>658</v>
      </c>
      <c r="D759" t="s">
        <v>48</v>
      </c>
      <c r="E759">
        <v>2018</v>
      </c>
      <c r="F759" t="s">
        <v>138</v>
      </c>
      <c r="G759" t="s">
        <v>14</v>
      </c>
      <c r="H759" t="s">
        <v>26</v>
      </c>
      <c r="I759" t="s">
        <v>40</v>
      </c>
      <c r="J759">
        <v>0.11744283799999999</v>
      </c>
      <c r="K759">
        <v>0</v>
      </c>
      <c r="L759">
        <v>257.73039999999997</v>
      </c>
      <c r="M759">
        <v>4.5</v>
      </c>
    </row>
    <row r="760" spans="1:13" x14ac:dyDescent="0.25">
      <c r="A760" t="s">
        <v>10</v>
      </c>
      <c r="B760">
        <v>759</v>
      </c>
      <c r="C760" t="s">
        <v>659</v>
      </c>
      <c r="D760" t="s">
        <v>48</v>
      </c>
      <c r="E760">
        <v>2018</v>
      </c>
      <c r="F760" t="s">
        <v>138</v>
      </c>
      <c r="G760" t="s">
        <v>14</v>
      </c>
      <c r="H760" t="s">
        <v>26</v>
      </c>
      <c r="I760" t="s">
        <v>40</v>
      </c>
      <c r="J760">
        <v>2.1471456E-2</v>
      </c>
      <c r="K760">
        <v>0</v>
      </c>
      <c r="L760">
        <v>131.0284</v>
      </c>
      <c r="M760">
        <v>4.5</v>
      </c>
    </row>
    <row r="761" spans="1:13" x14ac:dyDescent="0.25">
      <c r="A761" t="s">
        <v>10</v>
      </c>
      <c r="B761">
        <v>760</v>
      </c>
      <c r="C761" t="s">
        <v>660</v>
      </c>
      <c r="D761" t="s">
        <v>48</v>
      </c>
      <c r="E761">
        <v>2018</v>
      </c>
      <c r="F761" t="s">
        <v>138</v>
      </c>
      <c r="G761" t="s">
        <v>14</v>
      </c>
      <c r="H761" t="s">
        <v>26</v>
      </c>
      <c r="I761" t="s">
        <v>40</v>
      </c>
      <c r="J761">
        <v>0.17018662800000001</v>
      </c>
      <c r="K761">
        <v>0</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K762">
        <v>0</v>
      </c>
      <c r="L762">
        <v>212.1902</v>
      </c>
      <c r="M762">
        <v>4.5</v>
      </c>
    </row>
    <row r="763" spans="1:13" x14ac:dyDescent="0.25">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1610</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K916">
        <v>0</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K917">
        <v>0</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K918">
        <v>0</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K919">
        <v>0</v>
      </c>
      <c r="L919">
        <v>265.28840000000002</v>
      </c>
      <c r="M919">
        <v>4.5</v>
      </c>
    </row>
    <row r="920" spans="1:13" x14ac:dyDescent="0.25">
      <c r="A920" t="s">
        <v>17</v>
      </c>
      <c r="B920">
        <v>919</v>
      </c>
      <c r="C920" t="s">
        <v>748</v>
      </c>
      <c r="D920" t="s">
        <v>24</v>
      </c>
      <c r="E920">
        <v>2018</v>
      </c>
      <c r="F920" t="s">
        <v>45</v>
      </c>
      <c r="G920" t="s">
        <v>21</v>
      </c>
      <c r="H920" t="s">
        <v>15</v>
      </c>
      <c r="I920" t="s">
        <v>46</v>
      </c>
      <c r="J920">
        <v>6.5272284E-2</v>
      </c>
      <c r="K920">
        <v>0</v>
      </c>
      <c r="L920">
        <v>256.16460000000001</v>
      </c>
      <c r="M920">
        <v>4.5</v>
      </c>
    </row>
    <row r="921" spans="1:13" x14ac:dyDescent="0.25">
      <c r="A921" t="s">
        <v>17</v>
      </c>
      <c r="B921">
        <v>920</v>
      </c>
      <c r="C921" t="s">
        <v>749</v>
      </c>
      <c r="D921" t="s">
        <v>24</v>
      </c>
      <c r="E921">
        <v>2018</v>
      </c>
      <c r="F921" t="s">
        <v>45</v>
      </c>
      <c r="G921" t="s">
        <v>21</v>
      </c>
      <c r="H921" t="s">
        <v>15</v>
      </c>
      <c r="I921" t="s">
        <v>46</v>
      </c>
      <c r="J921">
        <v>0</v>
      </c>
      <c r="K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K922">
        <v>0</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K923">
        <v>0</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K924">
        <v>0</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K925">
        <v>0</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K926">
        <v>0</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K927">
        <v>0</v>
      </c>
      <c r="L927">
        <v>160.792</v>
      </c>
      <c r="M927">
        <v>4.5</v>
      </c>
    </row>
    <row r="928" spans="1:13" x14ac:dyDescent="0.25">
      <c r="A928" t="s">
        <v>17</v>
      </c>
      <c r="B928">
        <v>927</v>
      </c>
      <c r="C928" t="s">
        <v>241</v>
      </c>
      <c r="D928" t="s">
        <v>42</v>
      </c>
      <c r="E928">
        <v>2018</v>
      </c>
      <c r="F928" t="s">
        <v>45</v>
      </c>
      <c r="G928" t="s">
        <v>21</v>
      </c>
      <c r="H928" t="s">
        <v>15</v>
      </c>
      <c r="I928" t="s">
        <v>46</v>
      </c>
      <c r="J928">
        <v>5.911748E-2</v>
      </c>
      <c r="K928">
        <v>0</v>
      </c>
      <c r="L928">
        <v>181.5976</v>
      </c>
      <c r="M928">
        <v>4.5</v>
      </c>
    </row>
    <row r="929" spans="1:13" x14ac:dyDescent="0.25">
      <c r="A929" t="s">
        <v>17</v>
      </c>
      <c r="B929">
        <v>928</v>
      </c>
      <c r="C929" t="s">
        <v>753</v>
      </c>
      <c r="D929" t="s">
        <v>42</v>
      </c>
      <c r="E929">
        <v>2018</v>
      </c>
      <c r="F929" t="s">
        <v>45</v>
      </c>
      <c r="G929" t="s">
        <v>21</v>
      </c>
      <c r="H929" t="s">
        <v>15</v>
      </c>
      <c r="I929" t="s">
        <v>46</v>
      </c>
      <c r="J929">
        <v>9.370568E-2</v>
      </c>
      <c r="K929">
        <v>0</v>
      </c>
      <c r="L929">
        <v>253.8698</v>
      </c>
      <c r="M929">
        <v>4.5</v>
      </c>
    </row>
    <row r="930" spans="1:13" x14ac:dyDescent="0.25">
      <c r="A930" t="s">
        <v>17</v>
      </c>
      <c r="B930">
        <v>929</v>
      </c>
      <c r="C930" t="s">
        <v>754</v>
      </c>
      <c r="D930" t="s">
        <v>64</v>
      </c>
      <c r="E930">
        <v>2018</v>
      </c>
      <c r="F930" t="s">
        <v>45</v>
      </c>
      <c r="G930" t="s">
        <v>21</v>
      </c>
      <c r="H930" t="s">
        <v>15</v>
      </c>
      <c r="I930" t="s">
        <v>46</v>
      </c>
      <c r="J930">
        <v>3.1186800000000001E-2</v>
      </c>
      <c r="K930">
        <v>0</v>
      </c>
      <c r="L930">
        <v>39.548000000000002</v>
      </c>
      <c r="M930">
        <v>4.5</v>
      </c>
    </row>
    <row r="931" spans="1:13" x14ac:dyDescent="0.25">
      <c r="A931" t="s">
        <v>10</v>
      </c>
      <c r="B931">
        <v>930</v>
      </c>
      <c r="C931" t="s">
        <v>755</v>
      </c>
      <c r="D931" t="s">
        <v>95</v>
      </c>
      <c r="E931">
        <v>2018</v>
      </c>
      <c r="F931" t="s">
        <v>45</v>
      </c>
      <c r="G931" t="s">
        <v>21</v>
      </c>
      <c r="H931" t="s">
        <v>15</v>
      </c>
      <c r="I931" t="s">
        <v>46</v>
      </c>
      <c r="J931">
        <v>2.524761E-2</v>
      </c>
      <c r="K931">
        <v>0</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K932">
        <v>0</v>
      </c>
      <c r="L932">
        <v>153.2998</v>
      </c>
      <c r="M932">
        <v>4.5</v>
      </c>
    </row>
    <row r="933" spans="1:13" x14ac:dyDescent="0.25">
      <c r="A933" t="s">
        <v>10</v>
      </c>
      <c r="B933">
        <v>932</v>
      </c>
      <c r="C933" t="s">
        <v>756</v>
      </c>
      <c r="D933" t="s">
        <v>24</v>
      </c>
      <c r="E933">
        <v>2018</v>
      </c>
      <c r="F933" t="s">
        <v>45</v>
      </c>
      <c r="G933" t="s">
        <v>21</v>
      </c>
      <c r="H933" t="s">
        <v>15</v>
      </c>
      <c r="I933" t="s">
        <v>46</v>
      </c>
      <c r="J933">
        <v>7.9954799999999993E-3</v>
      </c>
      <c r="K933">
        <v>0</v>
      </c>
      <c r="L933">
        <v>78.561800000000005</v>
      </c>
      <c r="M933">
        <v>4.5</v>
      </c>
    </row>
    <row r="934" spans="1:13" x14ac:dyDescent="0.25">
      <c r="A934" t="s">
        <v>10</v>
      </c>
      <c r="B934">
        <v>933</v>
      </c>
      <c r="C934" t="s">
        <v>757</v>
      </c>
      <c r="D934" t="s">
        <v>24</v>
      </c>
      <c r="E934">
        <v>2018</v>
      </c>
      <c r="F934" t="s">
        <v>45</v>
      </c>
      <c r="G934" t="s">
        <v>21</v>
      </c>
      <c r="H934" t="s">
        <v>15</v>
      </c>
      <c r="I934" t="s">
        <v>46</v>
      </c>
      <c r="J934">
        <v>4.1273391E-2</v>
      </c>
      <c r="K934">
        <v>0</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K935">
        <v>0</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K936">
        <v>0</v>
      </c>
      <c r="L936">
        <v>81.495999999999995</v>
      </c>
      <c r="M936">
        <v>4.5</v>
      </c>
    </row>
    <row r="937" spans="1:13" x14ac:dyDescent="0.25">
      <c r="A937" t="s">
        <v>10</v>
      </c>
      <c r="B937">
        <v>936</v>
      </c>
      <c r="C937" t="s">
        <v>760</v>
      </c>
      <c r="D937" t="s">
        <v>48</v>
      </c>
      <c r="E937">
        <v>2018</v>
      </c>
      <c r="F937" t="s">
        <v>45</v>
      </c>
      <c r="G937" t="s">
        <v>21</v>
      </c>
      <c r="H937" t="s">
        <v>15</v>
      </c>
      <c r="I937" t="s">
        <v>46</v>
      </c>
      <c r="J937">
        <v>1.3951504E-2</v>
      </c>
      <c r="K937">
        <v>0</v>
      </c>
      <c r="L937">
        <v>199.9084</v>
      </c>
      <c r="M937">
        <v>4.5</v>
      </c>
    </row>
    <row r="938" spans="1:13" x14ac:dyDescent="0.25">
      <c r="A938" t="s">
        <v>10</v>
      </c>
      <c r="B938">
        <v>937</v>
      </c>
      <c r="C938" t="s">
        <v>761</v>
      </c>
      <c r="D938" t="s">
        <v>32</v>
      </c>
      <c r="E938">
        <v>2018</v>
      </c>
      <c r="F938" t="s">
        <v>45</v>
      </c>
      <c r="G938" t="s">
        <v>21</v>
      </c>
      <c r="H938" t="s">
        <v>15</v>
      </c>
      <c r="I938" t="s">
        <v>46</v>
      </c>
      <c r="J938">
        <v>4.4767031999999998E-2</v>
      </c>
      <c r="K938">
        <v>0</v>
      </c>
      <c r="L938">
        <v>173.7054</v>
      </c>
      <c r="M938">
        <v>4.5</v>
      </c>
    </row>
    <row r="939" spans="1:13" x14ac:dyDescent="0.25">
      <c r="A939" t="s">
        <v>35</v>
      </c>
      <c r="B939">
        <v>938</v>
      </c>
      <c r="C939" t="s">
        <v>477</v>
      </c>
      <c r="D939" t="s">
        <v>95</v>
      </c>
      <c r="E939">
        <v>2018</v>
      </c>
      <c r="F939" t="s">
        <v>45</v>
      </c>
      <c r="G939" t="s">
        <v>21</v>
      </c>
      <c r="H939" t="s">
        <v>15</v>
      </c>
      <c r="I939" t="s">
        <v>46</v>
      </c>
      <c r="J939">
        <v>3.7315468999999997E-2</v>
      </c>
      <c r="K939">
        <v>0</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K940">
        <v>0</v>
      </c>
      <c r="L940">
        <v>102.33320000000001</v>
      </c>
      <c r="M940">
        <v>4.5</v>
      </c>
    </row>
    <row r="941" spans="1:13" x14ac:dyDescent="0.25">
      <c r="A941" t="s">
        <v>35</v>
      </c>
      <c r="B941">
        <v>940</v>
      </c>
      <c r="C941" t="s">
        <v>763</v>
      </c>
      <c r="D941" t="s">
        <v>19</v>
      </c>
      <c r="E941">
        <v>2018</v>
      </c>
      <c r="F941" t="s">
        <v>45</v>
      </c>
      <c r="G941" t="s">
        <v>21</v>
      </c>
      <c r="H941" t="s">
        <v>15</v>
      </c>
      <c r="I941" t="s">
        <v>46</v>
      </c>
      <c r="J941">
        <v>2.0876485E-2</v>
      </c>
      <c r="K941">
        <v>0</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K942">
        <v>0</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K944">
        <v>0</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K950">
        <v>0</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K952">
        <v>0</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K953">
        <v>0</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K965">
        <v>0</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1610</v>
      </c>
      <c r="B968">
        <v>967</v>
      </c>
      <c r="C968" t="s">
        <v>322</v>
      </c>
      <c r="D968" t="s">
        <v>24</v>
      </c>
      <c r="E968">
        <v>2018</v>
      </c>
      <c r="F968" t="s">
        <v>45</v>
      </c>
      <c r="G968" t="s">
        <v>21</v>
      </c>
      <c r="H968" t="s">
        <v>15</v>
      </c>
      <c r="I968" t="s">
        <v>46</v>
      </c>
      <c r="J968">
        <v>2.6749991000000001E-2</v>
      </c>
      <c r="K968">
        <v>0</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K970">
        <v>0</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K971">
        <v>0</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K972">
        <v>0</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K973">
        <v>0</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K975">
        <v>0</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K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1610</v>
      </c>
      <c r="B1020">
        <v>1019</v>
      </c>
      <c r="C1020" t="s">
        <v>816</v>
      </c>
      <c r="D1020" t="s">
        <v>95</v>
      </c>
      <c r="E1020">
        <v>2018</v>
      </c>
      <c r="F1020" t="s">
        <v>138</v>
      </c>
      <c r="G1020" t="s">
        <v>14</v>
      </c>
      <c r="H1020" t="s">
        <v>26</v>
      </c>
      <c r="I1020" t="s">
        <v>40</v>
      </c>
      <c r="J1020">
        <v>2.4387984000000001E-2</v>
      </c>
      <c r="K1020">
        <v>0</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K1021">
        <v>0</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K1022">
        <v>0</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K1023">
        <v>0</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K1024">
        <v>0</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K1025">
        <v>0</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K1026">
        <v>0</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K1027">
        <v>0</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K1028">
        <v>0</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K1029">
        <v>0</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K1030">
        <v>0</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K1031">
        <v>0</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K1032">
        <v>0</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K1033">
        <v>0</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K1034">
        <v>0</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K1035">
        <v>0</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K1036">
        <v>0</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K1037">
        <v>0</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K1038">
        <v>0</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K1039">
        <v>0</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K1040">
        <v>0</v>
      </c>
      <c r="L1040">
        <v>44.2744</v>
      </c>
      <c r="M1040">
        <v>4.4000000000000004</v>
      </c>
    </row>
    <row r="1041" spans="1:13" x14ac:dyDescent="0.25">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1610</v>
      </c>
      <c r="B1257">
        <v>1256</v>
      </c>
      <c r="C1257" t="s">
        <v>943</v>
      </c>
      <c r="D1257" t="s">
        <v>19</v>
      </c>
      <c r="E1257">
        <v>2018</v>
      </c>
      <c r="F1257" t="s">
        <v>45</v>
      </c>
      <c r="G1257" t="s">
        <v>21</v>
      </c>
      <c r="H1257" t="s">
        <v>15</v>
      </c>
      <c r="I1257" t="s">
        <v>46</v>
      </c>
      <c r="J1257">
        <v>4.5865088999999998E-2</v>
      </c>
      <c r="K1257">
        <v>0</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K1258">
        <v>0</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K1259">
        <v>0</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K1260">
        <v>0</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K1261">
        <v>0</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K1262">
        <v>0</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K1263">
        <v>0</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K1264">
        <v>0</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K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K1266">
        <v>0</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K1267">
        <v>0</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K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K1269">
        <v>0</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K1270">
        <v>0</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K1271">
        <v>0</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K1272">
        <v>0</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K1273">
        <v>0</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K1274">
        <v>0</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K1275">
        <v>0</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K1276">
        <v>0</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K1277">
        <v>0</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K1278">
        <v>0</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K1279">
        <v>0</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K1280">
        <v>0</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K1281">
        <v>0</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K1282">
        <v>0</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K1284">
        <v>0</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K1288">
        <v>0</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K1292">
        <v>0</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K1307">
        <v>0</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K1311">
        <v>0</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K1322">
        <v>0</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K1336">
        <v>0</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K1343">
        <v>0</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K1348">
        <v>0</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K1349">
        <v>0</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K1351">
        <v>0</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K1354">
        <v>0</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K1359">
        <v>0</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K1361">
        <v>0</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1610</v>
      </c>
      <c r="B1436">
        <v>1435</v>
      </c>
      <c r="C1436" t="s">
        <v>291</v>
      </c>
      <c r="D1436" t="s">
        <v>28</v>
      </c>
      <c r="E1436">
        <v>2018</v>
      </c>
      <c r="F1436" t="s">
        <v>138</v>
      </c>
      <c r="G1436" t="s">
        <v>14</v>
      </c>
      <c r="H1436" t="s">
        <v>26</v>
      </c>
      <c r="I1436" t="s">
        <v>40</v>
      </c>
      <c r="J1436">
        <v>0.29731268500000002</v>
      </c>
      <c r="K1436">
        <v>0</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K1437">
        <v>0</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K1438">
        <v>0</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K1439">
        <v>0</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K1440">
        <v>0</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K1441">
        <v>0</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K1442">
        <v>0</v>
      </c>
      <c r="L1442">
        <v>105.9306</v>
      </c>
      <c r="M1442">
        <v>4.3</v>
      </c>
    </row>
    <row r="1443" spans="1:13" x14ac:dyDescent="0.25">
      <c r="A1443" t="s">
        <v>17</v>
      </c>
      <c r="B1443">
        <v>1442</v>
      </c>
      <c r="C1443" t="s">
        <v>1018</v>
      </c>
      <c r="D1443" t="s">
        <v>24</v>
      </c>
      <c r="E1443">
        <v>2018</v>
      </c>
      <c r="F1443" t="s">
        <v>138</v>
      </c>
      <c r="G1443" t="s">
        <v>14</v>
      </c>
      <c r="H1443" t="s">
        <v>26</v>
      </c>
      <c r="I1443" t="s">
        <v>40</v>
      </c>
      <c r="J1443">
        <v>0</v>
      </c>
      <c r="K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K1444">
        <v>0</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K1445">
        <v>0</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K1446">
        <v>0</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K1447">
        <v>0</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K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K1449">
        <v>0</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K1450">
        <v>0</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K1451">
        <v>0</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K1452">
        <v>0</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K1453">
        <v>0</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K1454">
        <v>0</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K1455">
        <v>0</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K1456">
        <v>0</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K1457">
        <v>0</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K1458">
        <v>0</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K1459">
        <v>0</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K1460">
        <v>0</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K1461">
        <v>0</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K1462">
        <v>0</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K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K1464">
        <v>0</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K1465">
        <v>0</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K1466">
        <v>0</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K1467">
        <v>0</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K1468">
        <v>0</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K1469">
        <v>0</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K1470">
        <v>0</v>
      </c>
      <c r="L1470">
        <v>44.7744</v>
      </c>
      <c r="M1470">
        <v>4.3</v>
      </c>
    </row>
    <row r="1471" spans="1:13" x14ac:dyDescent="0.25">
      <c r="A1471" t="s">
        <v>10</v>
      </c>
      <c r="B1471">
        <v>1470</v>
      </c>
      <c r="C1471" t="s">
        <v>810</v>
      </c>
      <c r="D1471" t="s">
        <v>48</v>
      </c>
      <c r="E1471">
        <v>2018</v>
      </c>
      <c r="F1471" t="s">
        <v>138</v>
      </c>
      <c r="G1471" t="s">
        <v>14</v>
      </c>
      <c r="H1471" t="s">
        <v>26</v>
      </c>
      <c r="I1471" t="s">
        <v>40</v>
      </c>
      <c r="J1471">
        <v>7.8758649E-2</v>
      </c>
      <c r="K1471">
        <v>0</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K1472">
        <v>0</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K1473">
        <v>0</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K1474">
        <v>0</v>
      </c>
      <c r="L1474">
        <v>41.011200000000002</v>
      </c>
      <c r="M1474">
        <v>4.3</v>
      </c>
    </row>
    <row r="1475" spans="1:13" x14ac:dyDescent="0.25">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1610</v>
      </c>
      <c r="B1912">
        <v>1911</v>
      </c>
      <c r="C1912" t="s">
        <v>224</v>
      </c>
      <c r="D1912" t="s">
        <v>95</v>
      </c>
      <c r="E1912">
        <v>2018</v>
      </c>
      <c r="F1912" t="s">
        <v>45</v>
      </c>
      <c r="G1912" t="s">
        <v>21</v>
      </c>
      <c r="H1912" t="s">
        <v>15</v>
      </c>
      <c r="I1912" t="s">
        <v>46</v>
      </c>
      <c r="J1912">
        <v>8.0203852000000006E-2</v>
      </c>
      <c r="K1912">
        <v>0</v>
      </c>
      <c r="L1912">
        <v>77.995999999999995</v>
      </c>
      <c r="M1912">
        <v>4.3</v>
      </c>
    </row>
    <row r="1913" spans="1:13" x14ac:dyDescent="0.25">
      <c r="A1913" t="s">
        <v>1610</v>
      </c>
      <c r="B1913">
        <v>1912</v>
      </c>
      <c r="C1913" t="s">
        <v>1184</v>
      </c>
      <c r="D1913" t="s">
        <v>12</v>
      </c>
      <c r="E1913">
        <v>2018</v>
      </c>
      <c r="F1913" t="s">
        <v>45</v>
      </c>
      <c r="G1913" t="s">
        <v>21</v>
      </c>
      <c r="H1913" t="s">
        <v>15</v>
      </c>
      <c r="I1913" t="s">
        <v>46</v>
      </c>
      <c r="J1913">
        <v>0</v>
      </c>
      <c r="K1913">
        <v>0</v>
      </c>
      <c r="L1913">
        <v>245.01439999999999</v>
      </c>
      <c r="M1913">
        <v>4.3</v>
      </c>
    </row>
    <row r="1914" spans="1:13" x14ac:dyDescent="0.25">
      <c r="A1914" t="s">
        <v>1610</v>
      </c>
      <c r="B1914">
        <v>1913</v>
      </c>
      <c r="C1914" t="s">
        <v>1185</v>
      </c>
      <c r="D1914" t="s">
        <v>12</v>
      </c>
      <c r="E1914">
        <v>2018</v>
      </c>
      <c r="F1914" t="s">
        <v>45</v>
      </c>
      <c r="G1914" t="s">
        <v>21</v>
      </c>
      <c r="H1914" t="s">
        <v>15</v>
      </c>
      <c r="I1914" t="s">
        <v>46</v>
      </c>
      <c r="J1914">
        <v>0.147663025</v>
      </c>
      <c r="K1914">
        <v>0</v>
      </c>
      <c r="L1914">
        <v>106.02800000000001</v>
      </c>
      <c r="M1914">
        <v>4.3</v>
      </c>
    </row>
    <row r="1915" spans="1:13" x14ac:dyDescent="0.25">
      <c r="A1915" t="s">
        <v>1610</v>
      </c>
      <c r="B1915">
        <v>1914</v>
      </c>
      <c r="C1915" t="s">
        <v>1186</v>
      </c>
      <c r="D1915" t="s">
        <v>42</v>
      </c>
      <c r="E1915">
        <v>2018</v>
      </c>
      <c r="F1915" t="s">
        <v>45</v>
      </c>
      <c r="G1915" t="s">
        <v>21</v>
      </c>
      <c r="H1915" t="s">
        <v>15</v>
      </c>
      <c r="I1915" t="s">
        <v>46</v>
      </c>
      <c r="J1915">
        <v>1.1762847E-2</v>
      </c>
      <c r="K1915">
        <v>0</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K1916">
        <v>0</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K1917">
        <v>0</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K1918">
        <v>0</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K1919">
        <v>0</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K1920">
        <v>0</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K1921">
        <v>0</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K1922">
        <v>0</v>
      </c>
      <c r="L1922">
        <v>205.3638</v>
      </c>
      <c r="M1922">
        <v>4.3</v>
      </c>
    </row>
    <row r="1923" spans="1:13" x14ac:dyDescent="0.25">
      <c r="A1923" t="s">
        <v>17</v>
      </c>
      <c r="B1923">
        <v>1922</v>
      </c>
      <c r="C1923" t="s">
        <v>1065</v>
      </c>
      <c r="D1923" t="s">
        <v>67</v>
      </c>
      <c r="E1923">
        <v>2018</v>
      </c>
      <c r="F1923" t="s">
        <v>45</v>
      </c>
      <c r="G1923" t="s">
        <v>21</v>
      </c>
      <c r="H1923" t="s">
        <v>15</v>
      </c>
      <c r="I1923" t="s">
        <v>46</v>
      </c>
      <c r="J1923">
        <v>1.769927E-2</v>
      </c>
      <c r="K1923">
        <v>0</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K1924">
        <v>0</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K1925">
        <v>0</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K1926">
        <v>0</v>
      </c>
      <c r="L1926">
        <v>214.7534</v>
      </c>
      <c r="M1926">
        <v>4.3</v>
      </c>
    </row>
    <row r="1927" spans="1:13" x14ac:dyDescent="0.25">
      <c r="A1927" t="s">
        <v>17</v>
      </c>
      <c r="B1927">
        <v>1926</v>
      </c>
      <c r="C1927" t="s">
        <v>1189</v>
      </c>
      <c r="D1927" t="s">
        <v>24</v>
      </c>
      <c r="E1927">
        <v>2018</v>
      </c>
      <c r="F1927" t="s">
        <v>45</v>
      </c>
      <c r="G1927" t="s">
        <v>21</v>
      </c>
      <c r="H1927" t="s">
        <v>15</v>
      </c>
      <c r="I1927" t="s">
        <v>46</v>
      </c>
      <c r="J1927">
        <v>0</v>
      </c>
      <c r="K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K1928">
        <v>0</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K1929">
        <v>0</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K1930">
        <v>0</v>
      </c>
      <c r="L1930">
        <v>115.7518</v>
      </c>
      <c r="M1930">
        <v>4.3</v>
      </c>
    </row>
    <row r="1931" spans="1:13" x14ac:dyDescent="0.25">
      <c r="A1931" t="s">
        <v>17</v>
      </c>
      <c r="B1931">
        <v>1930</v>
      </c>
      <c r="C1931" t="s">
        <v>493</v>
      </c>
      <c r="D1931" t="s">
        <v>12</v>
      </c>
      <c r="E1931">
        <v>2018</v>
      </c>
      <c r="F1931" t="s">
        <v>45</v>
      </c>
      <c r="G1931" t="s">
        <v>21</v>
      </c>
      <c r="H1931" t="s">
        <v>15</v>
      </c>
      <c r="I1931" t="s">
        <v>46</v>
      </c>
      <c r="J1931">
        <v>3.5183156E-2</v>
      </c>
      <c r="K1931">
        <v>0</v>
      </c>
      <c r="L1931">
        <v>37.8506</v>
      </c>
      <c r="M1931">
        <v>4.3</v>
      </c>
    </row>
    <row r="1932" spans="1:13" x14ac:dyDescent="0.25">
      <c r="A1932" t="s">
        <v>17</v>
      </c>
      <c r="B1932">
        <v>1931</v>
      </c>
      <c r="C1932" t="s">
        <v>1191</v>
      </c>
      <c r="D1932" t="s">
        <v>12</v>
      </c>
      <c r="E1932">
        <v>2018</v>
      </c>
      <c r="F1932" t="s">
        <v>45</v>
      </c>
      <c r="G1932" t="s">
        <v>21</v>
      </c>
      <c r="H1932" t="s">
        <v>15</v>
      </c>
      <c r="I1932" t="s">
        <v>46</v>
      </c>
      <c r="J1932">
        <v>2.0614212E-2</v>
      </c>
      <c r="K1932">
        <v>0</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K1933">
        <v>0</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K1934">
        <v>0</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K1935">
        <v>0</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K1936">
        <v>0</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K1937">
        <v>0</v>
      </c>
      <c r="L1937">
        <v>233.9616</v>
      </c>
      <c r="M1937">
        <v>4.3</v>
      </c>
    </row>
    <row r="1938" spans="1:13" x14ac:dyDescent="0.25">
      <c r="A1938" t="s">
        <v>17</v>
      </c>
      <c r="B1938">
        <v>1937</v>
      </c>
      <c r="C1938" t="s">
        <v>326</v>
      </c>
      <c r="D1938" t="s">
        <v>19</v>
      </c>
      <c r="E1938">
        <v>2018</v>
      </c>
      <c r="F1938" t="s">
        <v>45</v>
      </c>
      <c r="G1938" t="s">
        <v>21</v>
      </c>
      <c r="H1938" t="s">
        <v>15</v>
      </c>
      <c r="I1938" t="s">
        <v>46</v>
      </c>
      <c r="J1938">
        <v>0.116366304</v>
      </c>
      <c r="K1938">
        <v>0</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K1939">
        <v>0</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K1940">
        <v>0</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K1941">
        <v>0</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K1942">
        <v>0</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K1943">
        <v>0</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K1944">
        <v>0</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K1945">
        <v>0</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K1946">
        <v>0</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K1947">
        <v>0</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K1948">
        <v>0</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K1949">
        <v>0</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K1950">
        <v>0</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K1951">
        <v>0</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K1952">
        <v>0</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K1953">
        <v>0</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K1954">
        <v>0</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K1955">
        <v>0</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K1956">
        <v>0</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K1957">
        <v>0</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K1958">
        <v>0</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K1959">
        <v>0</v>
      </c>
      <c r="L1959">
        <v>164.7526</v>
      </c>
      <c r="M1959">
        <v>4.3</v>
      </c>
    </row>
    <row r="1960" spans="1:13" x14ac:dyDescent="0.25">
      <c r="A1960" t="s">
        <v>17</v>
      </c>
      <c r="B1960">
        <v>1959</v>
      </c>
      <c r="C1960" t="s">
        <v>355</v>
      </c>
      <c r="D1960" t="s">
        <v>32</v>
      </c>
      <c r="E1960">
        <v>2018</v>
      </c>
      <c r="F1960" t="s">
        <v>45</v>
      </c>
      <c r="G1960" t="s">
        <v>21</v>
      </c>
      <c r="H1960" t="s">
        <v>15</v>
      </c>
      <c r="I1960" t="s">
        <v>46</v>
      </c>
      <c r="J1960">
        <v>0.114609875</v>
      </c>
      <c r="K1960">
        <v>0</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K1961">
        <v>0</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K1962">
        <v>0</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K1963">
        <v>0</v>
      </c>
      <c r="L1963">
        <v>105.199</v>
      </c>
      <c r="M1963">
        <v>4.3</v>
      </c>
    </row>
    <row r="1964" spans="1:13" x14ac:dyDescent="0.25">
      <c r="A1964" t="s">
        <v>10</v>
      </c>
      <c r="B1964">
        <v>1963</v>
      </c>
      <c r="C1964" t="s">
        <v>160</v>
      </c>
      <c r="D1964" t="s">
        <v>28</v>
      </c>
      <c r="E1964">
        <v>2018</v>
      </c>
      <c r="F1964" t="s">
        <v>45</v>
      </c>
      <c r="G1964" t="s">
        <v>21</v>
      </c>
      <c r="H1964" t="s">
        <v>15</v>
      </c>
      <c r="I1964" t="s">
        <v>46</v>
      </c>
      <c r="J1964">
        <v>0</v>
      </c>
      <c r="K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K1965">
        <v>0</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K1966">
        <v>0</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K1967">
        <v>0</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K1968">
        <v>0</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K1969">
        <v>0</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K1970">
        <v>0</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K1971">
        <v>0</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K1972">
        <v>0</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K1973">
        <v>0</v>
      </c>
      <c r="L1973">
        <v>121.173</v>
      </c>
      <c r="M1973">
        <v>4.3</v>
      </c>
    </row>
    <row r="1974" spans="1:13" x14ac:dyDescent="0.25">
      <c r="A1974" t="s">
        <v>10</v>
      </c>
      <c r="B1974">
        <v>1973</v>
      </c>
      <c r="C1974" t="s">
        <v>839</v>
      </c>
      <c r="D1974" t="s">
        <v>48</v>
      </c>
      <c r="E1974">
        <v>2018</v>
      </c>
      <c r="F1974" t="s">
        <v>45</v>
      </c>
      <c r="G1974" t="s">
        <v>21</v>
      </c>
      <c r="H1974" t="s">
        <v>15</v>
      </c>
      <c r="I1974" t="s">
        <v>46</v>
      </c>
      <c r="J1974">
        <v>2.5795293E-2</v>
      </c>
      <c r="K1974">
        <v>0</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K1975">
        <v>0</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K1976">
        <v>0</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K1983">
        <v>0</v>
      </c>
      <c r="L1983">
        <v>176.93700000000001</v>
      </c>
      <c r="M1983">
        <v>4.2</v>
      </c>
    </row>
    <row r="1984" spans="1:13" x14ac:dyDescent="0.25">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K1990">
        <v>0</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K2001">
        <v>0</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K2004">
        <v>0</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K2005">
        <v>0</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K2011">
        <v>0</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K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K2020">
        <v>0</v>
      </c>
      <c r="L2020">
        <v>157.892</v>
      </c>
      <c r="M2020">
        <v>4.2</v>
      </c>
    </row>
    <row r="2021" spans="1:13" x14ac:dyDescent="0.25">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K2022">
        <v>0</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K2028">
        <v>0</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K2033">
        <v>0</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K2037">
        <v>0</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K2041">
        <v>0</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K2043">
        <v>0</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K2048">
        <v>0</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1610</v>
      </c>
      <c r="B2122">
        <v>2121</v>
      </c>
      <c r="C2122" t="s">
        <v>1042</v>
      </c>
      <c r="D2122" t="s">
        <v>48</v>
      </c>
      <c r="E2122">
        <v>2018</v>
      </c>
      <c r="F2122" t="s">
        <v>138</v>
      </c>
      <c r="G2122" t="s">
        <v>14</v>
      </c>
      <c r="H2122" t="s">
        <v>26</v>
      </c>
      <c r="I2122" t="s">
        <v>40</v>
      </c>
      <c r="J2122">
        <v>0.213125482</v>
      </c>
      <c r="K2122">
        <v>0</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K2123">
        <v>0</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K2124">
        <v>0</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K2125">
        <v>0</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K2126">
        <v>0</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K2127">
        <v>0</v>
      </c>
      <c r="L2127">
        <v>38.8506</v>
      </c>
      <c r="M2127">
        <v>4.2</v>
      </c>
    </row>
    <row r="2128" spans="1:13" x14ac:dyDescent="0.25">
      <c r="A2128" t="s">
        <v>17</v>
      </c>
      <c r="B2128">
        <v>2127</v>
      </c>
      <c r="C2128" t="s">
        <v>163</v>
      </c>
      <c r="D2128" t="s">
        <v>28</v>
      </c>
      <c r="E2128">
        <v>2018</v>
      </c>
      <c r="F2128" t="s">
        <v>138</v>
      </c>
      <c r="G2128" t="s">
        <v>14</v>
      </c>
      <c r="H2128" t="s">
        <v>26</v>
      </c>
      <c r="I2128" t="s">
        <v>40</v>
      </c>
      <c r="J2128">
        <v>1.8275994E-2</v>
      </c>
      <c r="K2128">
        <v>0</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K2129">
        <v>0</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K2130">
        <v>0</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K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K2132">
        <v>0</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K2133">
        <v>0</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K2134">
        <v>0</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K2135">
        <v>0</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K2136">
        <v>0</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K2137">
        <v>0</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K2138">
        <v>0</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K2139">
        <v>0</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K2140">
        <v>0</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K2141">
        <v>0</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K2142">
        <v>0</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K2143">
        <v>0</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K2144">
        <v>0</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K2145">
        <v>0</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K2146">
        <v>0</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K2147">
        <v>0</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K2148">
        <v>0</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K2149">
        <v>0</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K2150">
        <v>0</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K2151">
        <v>0</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K2152">
        <v>0</v>
      </c>
      <c r="L2152">
        <v>62.7194</v>
      </c>
      <c r="M2152">
        <v>4.2</v>
      </c>
    </row>
    <row r="2153" spans="1:13" x14ac:dyDescent="0.25">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1610</v>
      </c>
      <c r="B2220">
        <v>2219</v>
      </c>
      <c r="C2220" t="s">
        <v>592</v>
      </c>
      <c r="D2220" t="s">
        <v>64</v>
      </c>
      <c r="E2220">
        <v>2015</v>
      </c>
      <c r="F2220" t="s">
        <v>33</v>
      </c>
      <c r="G2220" t="s">
        <v>34</v>
      </c>
      <c r="H2220" t="s">
        <v>15</v>
      </c>
      <c r="I2220" t="s">
        <v>16</v>
      </c>
      <c r="J2220">
        <v>0</v>
      </c>
      <c r="K2220">
        <v>5.5</v>
      </c>
      <c r="L2220">
        <v>103.1016</v>
      </c>
      <c r="M2220">
        <v>4.2</v>
      </c>
    </row>
    <row r="2221" spans="1:13" x14ac:dyDescent="0.25">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1610</v>
      </c>
      <c r="B2595">
        <v>2594</v>
      </c>
      <c r="C2595" t="s">
        <v>199</v>
      </c>
      <c r="D2595" t="s">
        <v>95</v>
      </c>
      <c r="E2595">
        <v>2018</v>
      </c>
      <c r="F2595" t="s">
        <v>45</v>
      </c>
      <c r="G2595" t="s">
        <v>21</v>
      </c>
      <c r="H2595" t="s">
        <v>15</v>
      </c>
      <c r="I2595" t="s">
        <v>46</v>
      </c>
      <c r="J2595">
        <v>0.112718928</v>
      </c>
      <c r="K2595">
        <v>0</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K2596">
        <v>0</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K2597">
        <v>0</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K2598">
        <v>0</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K2599">
        <v>0</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K2600">
        <v>0</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K2601">
        <v>0</v>
      </c>
      <c r="L2601">
        <v>172.6764</v>
      </c>
      <c r="M2601">
        <v>4.2</v>
      </c>
    </row>
    <row r="2602" spans="1:13" x14ac:dyDescent="0.25">
      <c r="A2602" t="s">
        <v>17</v>
      </c>
      <c r="B2602">
        <v>2601</v>
      </c>
      <c r="C2602" t="s">
        <v>589</v>
      </c>
      <c r="D2602" t="s">
        <v>67</v>
      </c>
      <c r="E2602">
        <v>2018</v>
      </c>
      <c r="F2602" t="s">
        <v>45</v>
      </c>
      <c r="G2602" t="s">
        <v>21</v>
      </c>
      <c r="H2602" t="s">
        <v>15</v>
      </c>
      <c r="I2602" t="s">
        <v>46</v>
      </c>
      <c r="J2602">
        <v>3.0288215E-2</v>
      </c>
      <c r="K2602">
        <v>0</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K2603">
        <v>0</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K2604">
        <v>0</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K2605">
        <v>0</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K2606">
        <v>0</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K2607">
        <v>0</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K2608">
        <v>0</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K2609">
        <v>0</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K2610">
        <v>0</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K2611">
        <v>0</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K2612">
        <v>0</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K2613">
        <v>0</v>
      </c>
      <c r="L2613">
        <v>46.4086</v>
      </c>
      <c r="M2613">
        <v>4.2</v>
      </c>
    </row>
    <row r="2614" spans="1:13" x14ac:dyDescent="0.25">
      <c r="A2614" t="s">
        <v>17</v>
      </c>
      <c r="B2614">
        <v>2613</v>
      </c>
      <c r="C2614" t="s">
        <v>297</v>
      </c>
      <c r="D2614" t="s">
        <v>19</v>
      </c>
      <c r="E2614">
        <v>2018</v>
      </c>
      <c r="F2614" t="s">
        <v>45</v>
      </c>
      <c r="G2614" t="s">
        <v>21</v>
      </c>
      <c r="H2614" t="s">
        <v>15</v>
      </c>
      <c r="I2614" t="s">
        <v>46</v>
      </c>
      <c r="J2614">
        <v>8.9343433E-2</v>
      </c>
      <c r="K2614">
        <v>0</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K2615">
        <v>0</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K2616">
        <v>0</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K2617">
        <v>0</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K2618">
        <v>0</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K2619">
        <v>0</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K2620">
        <v>0</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K2621">
        <v>0</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K2622">
        <v>0</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K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K2624">
        <v>0</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K2625">
        <v>0</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K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K2627">
        <v>0</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K2628">
        <v>0</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K2629">
        <v>0</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K2630">
        <v>0</v>
      </c>
      <c r="L2630">
        <v>56.6614</v>
      </c>
      <c r="M2630">
        <v>4.2</v>
      </c>
    </row>
    <row r="2631" spans="1:13" x14ac:dyDescent="0.25">
      <c r="A2631" t="s">
        <v>17</v>
      </c>
      <c r="B2631">
        <v>2630</v>
      </c>
      <c r="C2631" t="s">
        <v>1356</v>
      </c>
      <c r="D2631" t="s">
        <v>32</v>
      </c>
      <c r="E2631">
        <v>2018</v>
      </c>
      <c r="F2631" t="s">
        <v>45</v>
      </c>
      <c r="G2631" t="s">
        <v>21</v>
      </c>
      <c r="H2631" t="s">
        <v>15</v>
      </c>
      <c r="I2631" t="s">
        <v>46</v>
      </c>
      <c r="J2631">
        <v>6.0805497E-2</v>
      </c>
      <c r="K2631">
        <v>0</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K2632">
        <v>0</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K2633">
        <v>0</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K2634">
        <v>0</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K2635">
        <v>0</v>
      </c>
      <c r="L2635">
        <v>262.7568</v>
      </c>
      <c r="M2635">
        <v>4.2</v>
      </c>
    </row>
    <row r="2636" spans="1:13" x14ac:dyDescent="0.25">
      <c r="A2636" t="s">
        <v>10</v>
      </c>
      <c r="B2636">
        <v>2635</v>
      </c>
      <c r="C2636" t="s">
        <v>1138</v>
      </c>
      <c r="D2636" t="s">
        <v>57</v>
      </c>
      <c r="E2636">
        <v>2018</v>
      </c>
      <c r="F2636" t="s">
        <v>45</v>
      </c>
      <c r="G2636" t="s">
        <v>21</v>
      </c>
      <c r="H2636" t="s">
        <v>15</v>
      </c>
      <c r="I2636" t="s">
        <v>46</v>
      </c>
      <c r="J2636">
        <v>2.923013E-2</v>
      </c>
      <c r="K2636">
        <v>0</v>
      </c>
      <c r="L2636">
        <v>189.4556</v>
      </c>
      <c r="M2636">
        <v>4.2</v>
      </c>
    </row>
    <row r="2637" spans="1:13" x14ac:dyDescent="0.25">
      <c r="A2637" t="s">
        <v>10</v>
      </c>
      <c r="B2637">
        <v>2636</v>
      </c>
      <c r="C2637" t="s">
        <v>1358</v>
      </c>
      <c r="D2637" t="s">
        <v>28</v>
      </c>
      <c r="E2637">
        <v>2018</v>
      </c>
      <c r="F2637" t="s">
        <v>45</v>
      </c>
      <c r="G2637" t="s">
        <v>21</v>
      </c>
      <c r="H2637" t="s">
        <v>15</v>
      </c>
      <c r="I2637" t="s">
        <v>46</v>
      </c>
      <c r="J2637">
        <v>1.612717E-2</v>
      </c>
      <c r="K2637">
        <v>0</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K2638">
        <v>0</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K2639">
        <v>0</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K2640">
        <v>0</v>
      </c>
      <c r="L2640">
        <v>181.6318</v>
      </c>
      <c r="M2640">
        <v>4.2</v>
      </c>
    </row>
    <row r="2641" spans="1:13" x14ac:dyDescent="0.25">
      <c r="A2641" t="s">
        <v>10</v>
      </c>
      <c r="B2641">
        <v>2640</v>
      </c>
      <c r="C2641" t="s">
        <v>554</v>
      </c>
      <c r="D2641" t="s">
        <v>67</v>
      </c>
      <c r="E2641">
        <v>2018</v>
      </c>
      <c r="F2641" t="s">
        <v>45</v>
      </c>
      <c r="G2641" t="s">
        <v>21</v>
      </c>
      <c r="H2641" t="s">
        <v>15</v>
      </c>
      <c r="I2641" t="s">
        <v>46</v>
      </c>
      <c r="J2641">
        <v>0.106538757</v>
      </c>
      <c r="K2641">
        <v>0</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K2642">
        <v>0</v>
      </c>
      <c r="L2642">
        <v>144.0102</v>
      </c>
      <c r="M2642">
        <v>4.2</v>
      </c>
    </row>
    <row r="2643" spans="1:13" x14ac:dyDescent="0.25">
      <c r="A2643" t="s">
        <v>10</v>
      </c>
      <c r="B2643">
        <v>2642</v>
      </c>
      <c r="C2643" t="s">
        <v>1361</v>
      </c>
      <c r="D2643" t="s">
        <v>24</v>
      </c>
      <c r="E2643">
        <v>2018</v>
      </c>
      <c r="F2643" t="s">
        <v>45</v>
      </c>
      <c r="G2643" t="s">
        <v>21</v>
      </c>
      <c r="H2643" t="s">
        <v>15</v>
      </c>
      <c r="I2643" t="s">
        <v>46</v>
      </c>
      <c r="J2643">
        <v>0</v>
      </c>
      <c r="K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K2644">
        <v>0</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K2645">
        <v>0</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K2646">
        <v>0</v>
      </c>
      <c r="L2646">
        <v>133.1626</v>
      </c>
      <c r="M2646">
        <v>4.2</v>
      </c>
    </row>
    <row r="2647" spans="1:13" x14ac:dyDescent="0.25">
      <c r="A2647" t="s">
        <v>10</v>
      </c>
      <c r="B2647">
        <v>2646</v>
      </c>
      <c r="C2647" t="s">
        <v>319</v>
      </c>
      <c r="D2647" t="s">
        <v>48</v>
      </c>
      <c r="E2647">
        <v>2018</v>
      </c>
      <c r="F2647" t="s">
        <v>45</v>
      </c>
      <c r="G2647" t="s">
        <v>21</v>
      </c>
      <c r="H2647" t="s">
        <v>15</v>
      </c>
      <c r="I2647" t="s">
        <v>46</v>
      </c>
      <c r="J2647">
        <v>0.104786172</v>
      </c>
      <c r="K2647">
        <v>0</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K2648">
        <v>0</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K2649">
        <v>0</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K2651">
        <v>0</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K2667">
        <v>0</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K2668">
        <v>0</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K2669">
        <v>0</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K2684">
        <v>0</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K2698">
        <v>0</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K2705">
        <v>0</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K2707">
        <v>0</v>
      </c>
      <c r="L2707">
        <v>172.1422</v>
      </c>
      <c r="M2707">
        <v>4.0999999999999996</v>
      </c>
    </row>
    <row r="2708" spans="1:13" x14ac:dyDescent="0.25">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K2753">
        <v>0</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K2754">
        <v>0</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K2755">
        <v>0</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K2756">
        <v>0</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K2757">
        <v>0</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K2758">
        <v>0</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K2759">
        <v>0</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K2760">
        <v>0</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K2761">
        <v>0</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K2762">
        <v>0</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K2763">
        <v>0</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K2764">
        <v>0</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K2765">
        <v>0</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K2766">
        <v>0</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K2767">
        <v>0</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K2768">
        <v>0</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K2769">
        <v>0</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K2770">
        <v>0</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K2771">
        <v>0</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K2772">
        <v>0</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K2773">
        <v>0</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K2774">
        <v>0</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K2775">
        <v>0</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K2776">
        <v>0</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K2777">
        <v>0</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K2778">
        <v>0</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K2779">
        <v>0</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K2780">
        <v>0</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K2781">
        <v>0</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K2782">
        <v>0</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K2783">
        <v>0</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K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K2785">
        <v>0</v>
      </c>
      <c r="L2785">
        <v>186.22659999999999</v>
      </c>
      <c r="M2785">
        <v>4.0999999999999996</v>
      </c>
    </row>
    <row r="2786" spans="1:13" x14ac:dyDescent="0.25">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1610</v>
      </c>
      <c r="B3129">
        <v>3128</v>
      </c>
      <c r="C3129" t="s">
        <v>1112</v>
      </c>
      <c r="D3129" t="s">
        <v>12</v>
      </c>
      <c r="E3129">
        <v>2018</v>
      </c>
      <c r="F3129" t="s">
        <v>45</v>
      </c>
      <c r="G3129" t="s">
        <v>21</v>
      </c>
      <c r="H3129" t="s">
        <v>15</v>
      </c>
      <c r="I3129" t="s">
        <v>46</v>
      </c>
      <c r="J3129">
        <v>4.8980155999999997E-2</v>
      </c>
      <c r="K3129">
        <v>0</v>
      </c>
      <c r="L3129">
        <v>148.70500000000001</v>
      </c>
      <c r="M3129">
        <v>4.0999999999999996</v>
      </c>
    </row>
    <row r="3130" spans="1:13" x14ac:dyDescent="0.25">
      <c r="A3130" t="s">
        <v>1610</v>
      </c>
      <c r="B3130">
        <v>3129</v>
      </c>
      <c r="C3130" t="s">
        <v>995</v>
      </c>
      <c r="D3130" t="s">
        <v>42</v>
      </c>
      <c r="E3130">
        <v>2018</v>
      </c>
      <c r="F3130" t="s">
        <v>45</v>
      </c>
      <c r="G3130" t="s">
        <v>21</v>
      </c>
      <c r="H3130" t="s">
        <v>15</v>
      </c>
      <c r="I3130" t="s">
        <v>46</v>
      </c>
      <c r="J3130">
        <v>2.6058181E-2</v>
      </c>
      <c r="K3130">
        <v>0</v>
      </c>
      <c r="L3130">
        <v>121.9098</v>
      </c>
      <c r="M3130">
        <v>4.0999999999999996</v>
      </c>
    </row>
    <row r="3131" spans="1:13" x14ac:dyDescent="0.25">
      <c r="A3131" t="s">
        <v>1610</v>
      </c>
      <c r="B3131">
        <v>3130</v>
      </c>
      <c r="C3131" t="s">
        <v>510</v>
      </c>
      <c r="D3131" t="s">
        <v>54</v>
      </c>
      <c r="E3131">
        <v>2018</v>
      </c>
      <c r="F3131" t="s">
        <v>45</v>
      </c>
      <c r="G3131" t="s">
        <v>21</v>
      </c>
      <c r="H3131" t="s">
        <v>15</v>
      </c>
      <c r="I3131" t="s">
        <v>46</v>
      </c>
      <c r="J3131">
        <v>1.2656359000000001E-2</v>
      </c>
      <c r="K3131">
        <v>0</v>
      </c>
      <c r="L3131">
        <v>37.882199999999997</v>
      </c>
      <c r="M3131">
        <v>4.0999999999999996</v>
      </c>
    </row>
    <row r="3132" spans="1:13" x14ac:dyDescent="0.25">
      <c r="A3132" t="s">
        <v>1610</v>
      </c>
      <c r="B3132">
        <v>3131</v>
      </c>
      <c r="C3132" t="s">
        <v>1240</v>
      </c>
      <c r="D3132" t="s">
        <v>54</v>
      </c>
      <c r="E3132">
        <v>2018</v>
      </c>
      <c r="F3132" t="s">
        <v>45</v>
      </c>
      <c r="G3132" t="s">
        <v>21</v>
      </c>
      <c r="H3132" t="s">
        <v>15</v>
      </c>
      <c r="I3132" t="s">
        <v>46</v>
      </c>
      <c r="J3132">
        <v>5.7809959000000001E-2</v>
      </c>
      <c r="K3132">
        <v>0</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K3133">
        <v>0</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K3134">
        <v>0</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K3135">
        <v>0</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K3136">
        <v>0</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K3137">
        <v>0</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K3138">
        <v>0</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K3139">
        <v>0</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K3140">
        <v>0</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K3141">
        <v>0</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K3142">
        <v>0</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K3143">
        <v>0</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K3144">
        <v>0</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K3145">
        <v>0</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K3146">
        <v>0</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K3147">
        <v>0</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K3148">
        <v>0</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K3149">
        <v>0</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K3150">
        <v>0</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K3151">
        <v>0</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K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K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K3154">
        <v>0</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K3155">
        <v>0</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K3156">
        <v>0</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K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K3158">
        <v>0</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K3159">
        <v>0</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K3160">
        <v>0</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K3161">
        <v>0</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K3162">
        <v>0</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K3163">
        <v>0</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K3164">
        <v>0</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K3165">
        <v>0</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K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K3167">
        <v>0</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K3168">
        <v>0</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K3169">
        <v>0</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K3170">
        <v>0</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K3171">
        <v>0</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K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K3173">
        <v>0</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K3174">
        <v>0</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K3182">
        <v>0</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K3185">
        <v>0</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K3193">
        <v>0</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K3195">
        <v>0</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K3197">
        <v>0</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K3199">
        <v>0</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K3211">
        <v>0</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K3232">
        <v>0</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K3239">
        <v>0</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K3241">
        <v>0</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K3248">
        <v>0</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K3251">
        <v>0</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1610</v>
      </c>
      <c r="B3314">
        <v>3313</v>
      </c>
      <c r="C3314" t="s">
        <v>172</v>
      </c>
      <c r="D3314" t="s">
        <v>42</v>
      </c>
      <c r="E3314">
        <v>2018</v>
      </c>
      <c r="F3314" t="s">
        <v>138</v>
      </c>
      <c r="G3314" t="s">
        <v>14</v>
      </c>
      <c r="H3314" t="s">
        <v>26</v>
      </c>
      <c r="I3314" t="s">
        <v>40</v>
      </c>
      <c r="J3314">
        <v>2.7465989999999999E-2</v>
      </c>
      <c r="K3314">
        <v>0</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K3315">
        <v>0</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K3316">
        <v>0</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K3317">
        <v>0</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K3318">
        <v>0</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K3319">
        <v>0</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K3320">
        <v>0</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K3321">
        <v>0</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K3322">
        <v>0</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K3323">
        <v>0</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K3324">
        <v>0</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K3325">
        <v>0</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K3326">
        <v>0</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K3327">
        <v>0</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K3328">
        <v>0</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K3329">
        <v>0</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K3330">
        <v>0</v>
      </c>
      <c r="L3330">
        <v>179.166</v>
      </c>
      <c r="M3330">
        <v>4</v>
      </c>
    </row>
    <row r="3331" spans="1:13" x14ac:dyDescent="0.25">
      <c r="A3331" t="s">
        <v>17</v>
      </c>
      <c r="B3331">
        <v>3330</v>
      </c>
      <c r="C3331" t="s">
        <v>998</v>
      </c>
      <c r="D3331" t="s">
        <v>64</v>
      </c>
      <c r="E3331">
        <v>2018</v>
      </c>
      <c r="F3331" t="s">
        <v>138</v>
      </c>
      <c r="G3331" t="s">
        <v>14</v>
      </c>
      <c r="H3331" t="s">
        <v>26</v>
      </c>
      <c r="I3331" t="s">
        <v>40</v>
      </c>
      <c r="J3331">
        <v>0.142393355</v>
      </c>
      <c r="K3331">
        <v>0</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K3332">
        <v>0</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K3333">
        <v>0</v>
      </c>
      <c r="L3333">
        <v>189.553</v>
      </c>
      <c r="M3333">
        <v>4</v>
      </c>
    </row>
    <row r="3334" spans="1:13" x14ac:dyDescent="0.25">
      <c r="A3334" t="s">
        <v>17</v>
      </c>
      <c r="B3334">
        <v>3333</v>
      </c>
      <c r="C3334" t="s">
        <v>47</v>
      </c>
      <c r="D3334" t="s">
        <v>48</v>
      </c>
      <c r="E3334">
        <v>2018</v>
      </c>
      <c r="F3334" t="s">
        <v>138</v>
      </c>
      <c r="G3334" t="s">
        <v>14</v>
      </c>
      <c r="H3334" t="s">
        <v>26</v>
      </c>
      <c r="I3334" t="s">
        <v>40</v>
      </c>
      <c r="J3334">
        <v>0.148764535</v>
      </c>
      <c r="K3334">
        <v>0</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K3335">
        <v>0</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K3336">
        <v>0</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K3337">
        <v>0</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K3338">
        <v>0</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K3339">
        <v>0</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K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K3341">
        <v>0</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K3342">
        <v>0</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K3343">
        <v>0</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K3344">
        <v>0</v>
      </c>
      <c r="L3344">
        <v>193.982</v>
      </c>
      <c r="M3344">
        <v>4</v>
      </c>
    </row>
    <row r="3345" spans="1:13" x14ac:dyDescent="0.25">
      <c r="A3345" t="s">
        <v>10</v>
      </c>
      <c r="B3345">
        <v>3344</v>
      </c>
      <c r="C3345" t="s">
        <v>1426</v>
      </c>
      <c r="D3345" t="s">
        <v>12</v>
      </c>
      <c r="E3345">
        <v>2018</v>
      </c>
      <c r="F3345" t="s">
        <v>138</v>
      </c>
      <c r="G3345" t="s">
        <v>14</v>
      </c>
      <c r="H3345" t="s">
        <v>26</v>
      </c>
      <c r="I3345" t="s">
        <v>40</v>
      </c>
      <c r="J3345">
        <v>0.214139786</v>
      </c>
      <c r="K3345">
        <v>0</v>
      </c>
      <c r="L3345">
        <v>102.4016</v>
      </c>
      <c r="M3345">
        <v>4</v>
      </c>
    </row>
    <row r="3346" spans="1:13" x14ac:dyDescent="0.25">
      <c r="A3346" t="s">
        <v>10</v>
      </c>
      <c r="B3346">
        <v>3345</v>
      </c>
      <c r="C3346" t="s">
        <v>606</v>
      </c>
      <c r="D3346" t="s">
        <v>12</v>
      </c>
      <c r="E3346">
        <v>2018</v>
      </c>
      <c r="F3346" t="s">
        <v>138</v>
      </c>
      <c r="G3346" t="s">
        <v>14</v>
      </c>
      <c r="H3346" t="s">
        <v>26</v>
      </c>
      <c r="I3346" t="s">
        <v>40</v>
      </c>
      <c r="J3346">
        <v>0</v>
      </c>
      <c r="K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K3347">
        <v>0</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K3348">
        <v>0</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K3349">
        <v>0</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K3350">
        <v>0</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K3351">
        <v>0</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K3352">
        <v>0</v>
      </c>
      <c r="L3352">
        <v>154.16560000000001</v>
      </c>
      <c r="M3352">
        <v>4</v>
      </c>
    </row>
    <row r="3353" spans="1:13" x14ac:dyDescent="0.25">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25">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1610</v>
      </c>
      <c r="B3766">
        <v>3765</v>
      </c>
      <c r="C3766" t="s">
        <v>367</v>
      </c>
      <c r="D3766" t="s">
        <v>57</v>
      </c>
      <c r="E3766">
        <v>2018</v>
      </c>
      <c r="F3766" t="s">
        <v>45</v>
      </c>
      <c r="G3766" t="s">
        <v>21</v>
      </c>
      <c r="H3766" t="s">
        <v>15</v>
      </c>
      <c r="I3766" t="s">
        <v>46</v>
      </c>
      <c r="J3766">
        <v>2.1618297000000002E-2</v>
      </c>
      <c r="K3766">
        <v>0</v>
      </c>
      <c r="L3766">
        <v>167.11840000000001</v>
      </c>
      <c r="M3766">
        <v>4</v>
      </c>
    </row>
    <row r="3767" spans="1:13" x14ac:dyDescent="0.25">
      <c r="A3767" t="s">
        <v>1610</v>
      </c>
      <c r="B3767">
        <v>3766</v>
      </c>
      <c r="C3767" t="s">
        <v>1466</v>
      </c>
      <c r="D3767" t="s">
        <v>32</v>
      </c>
      <c r="E3767">
        <v>2018</v>
      </c>
      <c r="F3767" t="s">
        <v>45</v>
      </c>
      <c r="G3767" t="s">
        <v>21</v>
      </c>
      <c r="H3767" t="s">
        <v>15</v>
      </c>
      <c r="I3767" t="s">
        <v>46</v>
      </c>
      <c r="J3767">
        <v>6.5119701000000002E-2</v>
      </c>
      <c r="K3767">
        <v>0</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K3768">
        <v>0</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K3769">
        <v>0</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K3770">
        <v>0</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K3771">
        <v>0</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K3772">
        <v>0</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K3773">
        <v>0</v>
      </c>
      <c r="L3773">
        <v>120.7098</v>
      </c>
      <c r="M3773">
        <v>4</v>
      </c>
    </row>
    <row r="3774" spans="1:13" x14ac:dyDescent="0.25">
      <c r="A3774" t="s">
        <v>17</v>
      </c>
      <c r="B3774">
        <v>3773</v>
      </c>
      <c r="C3774" t="s">
        <v>704</v>
      </c>
      <c r="D3774" t="s">
        <v>57</v>
      </c>
      <c r="E3774">
        <v>2018</v>
      </c>
      <c r="F3774" t="s">
        <v>45</v>
      </c>
      <c r="G3774" t="s">
        <v>21</v>
      </c>
      <c r="H3774" t="s">
        <v>15</v>
      </c>
      <c r="I3774" t="s">
        <v>46</v>
      </c>
      <c r="J3774">
        <v>7.8831762E-2</v>
      </c>
      <c r="K3774">
        <v>0</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K3775">
        <v>0</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K3776">
        <v>0</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K3777">
        <v>0</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K3778">
        <v>0</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K3779">
        <v>0</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K3780">
        <v>0</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K3781">
        <v>0</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K3782">
        <v>0</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K3783">
        <v>0</v>
      </c>
      <c r="L3783">
        <v>82.390799999999999</v>
      </c>
      <c r="M3783">
        <v>4</v>
      </c>
    </row>
    <row r="3784" spans="1:13" x14ac:dyDescent="0.25">
      <c r="A3784" t="s">
        <v>17</v>
      </c>
      <c r="B3784">
        <v>3783</v>
      </c>
      <c r="C3784" t="s">
        <v>169</v>
      </c>
      <c r="D3784" t="s">
        <v>12</v>
      </c>
      <c r="E3784">
        <v>2018</v>
      </c>
      <c r="F3784" t="s">
        <v>45</v>
      </c>
      <c r="G3784" t="s">
        <v>21</v>
      </c>
      <c r="H3784" t="s">
        <v>15</v>
      </c>
      <c r="I3784" t="s">
        <v>46</v>
      </c>
      <c r="J3784">
        <v>0</v>
      </c>
      <c r="K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K3785">
        <v>0</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K3786">
        <v>0</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K3787">
        <v>0</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K3788">
        <v>0</v>
      </c>
      <c r="L3788">
        <v>125.9336</v>
      </c>
      <c r="M3788">
        <v>4</v>
      </c>
    </row>
    <row r="3789" spans="1:13" x14ac:dyDescent="0.25">
      <c r="A3789" t="s">
        <v>17</v>
      </c>
      <c r="B3789">
        <v>3788</v>
      </c>
      <c r="C3789" t="s">
        <v>173</v>
      </c>
      <c r="D3789" t="s">
        <v>42</v>
      </c>
      <c r="E3789">
        <v>2018</v>
      </c>
      <c r="F3789" t="s">
        <v>45</v>
      </c>
      <c r="G3789" t="s">
        <v>21</v>
      </c>
      <c r="H3789" t="s">
        <v>15</v>
      </c>
      <c r="I3789" t="s">
        <v>46</v>
      </c>
      <c r="J3789">
        <v>0.107507291</v>
      </c>
      <c r="K3789">
        <v>0</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K3790">
        <v>0</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K3791">
        <v>0</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K3792">
        <v>0</v>
      </c>
      <c r="L3792">
        <v>157.56039999999999</v>
      </c>
      <c r="M3792">
        <v>4</v>
      </c>
    </row>
    <row r="3793" spans="1:13" x14ac:dyDescent="0.25">
      <c r="A3793" t="s">
        <v>17</v>
      </c>
      <c r="B3793">
        <v>3792</v>
      </c>
      <c r="C3793" t="s">
        <v>932</v>
      </c>
      <c r="D3793" t="s">
        <v>48</v>
      </c>
      <c r="E3793">
        <v>2018</v>
      </c>
      <c r="F3793" t="s">
        <v>45</v>
      </c>
      <c r="G3793" t="s">
        <v>21</v>
      </c>
      <c r="H3793" t="s">
        <v>15</v>
      </c>
      <c r="I3793" t="s">
        <v>46</v>
      </c>
      <c r="J3793">
        <v>0</v>
      </c>
      <c r="K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K3794">
        <v>0</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K3795">
        <v>0</v>
      </c>
      <c r="L3795">
        <v>167.2816</v>
      </c>
      <c r="M3795">
        <v>4</v>
      </c>
    </row>
    <row r="3796" spans="1:13" x14ac:dyDescent="0.25">
      <c r="A3796" t="s">
        <v>17</v>
      </c>
      <c r="B3796">
        <v>3795</v>
      </c>
      <c r="C3796" t="s">
        <v>916</v>
      </c>
      <c r="D3796" t="s">
        <v>48</v>
      </c>
      <c r="E3796">
        <v>2018</v>
      </c>
      <c r="F3796" t="s">
        <v>45</v>
      </c>
      <c r="G3796" t="s">
        <v>21</v>
      </c>
      <c r="H3796" t="s">
        <v>15</v>
      </c>
      <c r="I3796" t="s">
        <v>46</v>
      </c>
      <c r="J3796">
        <v>0</v>
      </c>
      <c r="K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K3797">
        <v>0</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K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K3799">
        <v>0</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K3800">
        <v>0</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K3801">
        <v>0</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K3802">
        <v>0</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K3803">
        <v>0</v>
      </c>
      <c r="L3803">
        <v>173.7422</v>
      </c>
      <c r="M3803">
        <v>4</v>
      </c>
    </row>
    <row r="3804" spans="1:13" x14ac:dyDescent="0.25">
      <c r="A3804" t="s">
        <v>10</v>
      </c>
      <c r="B3804">
        <v>3803</v>
      </c>
      <c r="C3804" t="s">
        <v>978</v>
      </c>
      <c r="D3804" t="s">
        <v>67</v>
      </c>
      <c r="E3804">
        <v>2018</v>
      </c>
      <c r="F3804" t="s">
        <v>45</v>
      </c>
      <c r="G3804" t="s">
        <v>21</v>
      </c>
      <c r="H3804" t="s">
        <v>15</v>
      </c>
      <c r="I3804" t="s">
        <v>46</v>
      </c>
      <c r="J3804">
        <v>2.2403117E-2</v>
      </c>
      <c r="K3804">
        <v>0</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K3805">
        <v>0</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K3806">
        <v>0</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K3807">
        <v>0</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K3808">
        <v>0</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K3809">
        <v>0</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K3810">
        <v>0</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K3811">
        <v>0</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K3812">
        <v>0</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K3813">
        <v>0</v>
      </c>
      <c r="L3813">
        <v>115.9466</v>
      </c>
      <c r="M3813">
        <v>4</v>
      </c>
    </row>
    <row r="3814" spans="1:13" x14ac:dyDescent="0.25">
      <c r="A3814" t="s">
        <v>10</v>
      </c>
      <c r="B3814">
        <v>3813</v>
      </c>
      <c r="C3814" t="s">
        <v>256</v>
      </c>
      <c r="D3814" t="s">
        <v>12</v>
      </c>
      <c r="E3814">
        <v>2018</v>
      </c>
      <c r="F3814" t="s">
        <v>45</v>
      </c>
      <c r="G3814" t="s">
        <v>21</v>
      </c>
      <c r="H3814" t="s">
        <v>15</v>
      </c>
      <c r="I3814" t="s">
        <v>46</v>
      </c>
      <c r="J3814">
        <v>1.4295564E-2</v>
      </c>
      <c r="K3814">
        <v>0</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K3815">
        <v>0</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K3816">
        <v>0</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K3817">
        <v>0</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K3818">
        <v>0</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K3819">
        <v>0</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K3820">
        <v>0</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K3821">
        <v>0</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K3822">
        <v>0</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K3823">
        <v>0</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K3824">
        <v>0</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K3825">
        <v>0</v>
      </c>
      <c r="L3825">
        <v>252.2724</v>
      </c>
      <c r="M3825">
        <v>4</v>
      </c>
    </row>
    <row r="3826" spans="1:13" x14ac:dyDescent="0.25">
      <c r="A3826" t="s">
        <v>10</v>
      </c>
      <c r="B3826">
        <v>3825</v>
      </c>
      <c r="C3826" t="s">
        <v>520</v>
      </c>
      <c r="D3826" t="s">
        <v>32</v>
      </c>
      <c r="E3826">
        <v>2018</v>
      </c>
      <c r="F3826" t="s">
        <v>45</v>
      </c>
      <c r="G3826" t="s">
        <v>21</v>
      </c>
      <c r="H3826" t="s">
        <v>15</v>
      </c>
      <c r="I3826" t="s">
        <v>46</v>
      </c>
      <c r="J3826">
        <v>0.127308434</v>
      </c>
      <c r="K3826">
        <v>0</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K3827">
        <v>0</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K3828">
        <v>0</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K3831">
        <v>0</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K3833">
        <v>0</v>
      </c>
      <c r="L3833">
        <v>128.06780000000001</v>
      </c>
      <c r="M3833">
        <v>3.9</v>
      </c>
    </row>
    <row r="3834" spans="1:13" x14ac:dyDescent="0.25">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K3847">
        <v>0</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K3849">
        <v>0</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1610</v>
      </c>
      <c r="B3895">
        <v>3894</v>
      </c>
      <c r="C3895" t="s">
        <v>989</v>
      </c>
      <c r="D3895" t="s">
        <v>12</v>
      </c>
      <c r="E3895">
        <v>2018</v>
      </c>
      <c r="F3895" t="s">
        <v>138</v>
      </c>
      <c r="G3895" t="s">
        <v>14</v>
      </c>
      <c r="H3895" t="s">
        <v>26</v>
      </c>
      <c r="I3895" t="s">
        <v>40</v>
      </c>
      <c r="J3895">
        <v>5.2691045999999998E-2</v>
      </c>
      <c r="K3895">
        <v>0</v>
      </c>
      <c r="L3895">
        <v>216.3192</v>
      </c>
      <c r="M3895">
        <v>3.9</v>
      </c>
    </row>
    <row r="3896" spans="1:13" x14ac:dyDescent="0.25">
      <c r="A3896" t="s">
        <v>1610</v>
      </c>
      <c r="B3896">
        <v>3895</v>
      </c>
      <c r="C3896" t="s">
        <v>1292</v>
      </c>
      <c r="D3896" t="s">
        <v>32</v>
      </c>
      <c r="E3896">
        <v>2018</v>
      </c>
      <c r="F3896" t="s">
        <v>138</v>
      </c>
      <c r="G3896" t="s">
        <v>14</v>
      </c>
      <c r="H3896" t="s">
        <v>26</v>
      </c>
      <c r="I3896" t="s">
        <v>40</v>
      </c>
      <c r="J3896">
        <v>0.168780127</v>
      </c>
      <c r="K3896">
        <v>0</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K3897">
        <v>0</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K3898">
        <v>0</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K3899">
        <v>0</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K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K3901">
        <v>0</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K3902">
        <v>0</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K3903">
        <v>0</v>
      </c>
      <c r="L3903">
        <v>36.3874</v>
      </c>
      <c r="M3903">
        <v>3.9</v>
      </c>
    </row>
    <row r="3904" spans="1:13" x14ac:dyDescent="0.25">
      <c r="A3904" t="s">
        <v>17</v>
      </c>
      <c r="B3904">
        <v>3903</v>
      </c>
      <c r="C3904" t="s">
        <v>591</v>
      </c>
      <c r="D3904" t="s">
        <v>19</v>
      </c>
      <c r="E3904">
        <v>2018</v>
      </c>
      <c r="F3904" t="s">
        <v>138</v>
      </c>
      <c r="G3904" t="s">
        <v>14</v>
      </c>
      <c r="H3904" t="s">
        <v>26</v>
      </c>
      <c r="I3904" t="s">
        <v>40</v>
      </c>
      <c r="J3904">
        <v>2.8382853E-2</v>
      </c>
      <c r="K3904">
        <v>0</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K3905">
        <v>0</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K3906">
        <v>0</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K3907">
        <v>0</v>
      </c>
      <c r="L3907">
        <v>195.5478</v>
      </c>
      <c r="M3907">
        <v>3.9</v>
      </c>
    </row>
    <row r="3908" spans="1:13" x14ac:dyDescent="0.25">
      <c r="A3908" t="s">
        <v>17</v>
      </c>
      <c r="B3908">
        <v>3907</v>
      </c>
      <c r="C3908" t="s">
        <v>114</v>
      </c>
      <c r="D3908" t="s">
        <v>42</v>
      </c>
      <c r="E3908">
        <v>2018</v>
      </c>
      <c r="F3908" t="s">
        <v>138</v>
      </c>
      <c r="G3908" t="s">
        <v>14</v>
      </c>
      <c r="H3908" t="s">
        <v>26</v>
      </c>
      <c r="I3908" t="s">
        <v>40</v>
      </c>
      <c r="J3908">
        <v>0.19875618</v>
      </c>
      <c r="K3908">
        <v>0</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K3909">
        <v>0</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K3910">
        <v>0</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K3911">
        <v>0</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K3912">
        <v>0</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K3913">
        <v>0</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K3914">
        <v>0</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K3915">
        <v>0</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K3916">
        <v>0</v>
      </c>
      <c r="L3916">
        <v>63.648400000000002</v>
      </c>
      <c r="M3916">
        <v>3.9</v>
      </c>
    </row>
    <row r="3917" spans="1:13" x14ac:dyDescent="0.25">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K4104">
        <v>0</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K4105">
        <v>0</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K4106">
        <v>0</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K4107">
        <v>0</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K4108">
        <v>0</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K4109">
        <v>0</v>
      </c>
      <c r="L4109">
        <v>179.0976</v>
      </c>
      <c r="M4109">
        <v>3.9</v>
      </c>
    </row>
    <row r="4110" spans="1:13" x14ac:dyDescent="0.25">
      <c r="A4110" t="s">
        <v>17</v>
      </c>
      <c r="B4110">
        <v>4109</v>
      </c>
      <c r="C4110" t="s">
        <v>81</v>
      </c>
      <c r="D4110" t="s">
        <v>12</v>
      </c>
      <c r="E4110">
        <v>2018</v>
      </c>
      <c r="F4110" t="s">
        <v>45</v>
      </c>
      <c r="G4110" t="s">
        <v>21</v>
      </c>
      <c r="H4110" t="s">
        <v>15</v>
      </c>
      <c r="I4110" t="s">
        <v>46</v>
      </c>
      <c r="J4110">
        <v>0</v>
      </c>
      <c r="K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K4111">
        <v>0</v>
      </c>
      <c r="L4111">
        <v>192.982</v>
      </c>
      <c r="M4111">
        <v>3.9</v>
      </c>
    </row>
    <row r="4112" spans="1:13" x14ac:dyDescent="0.25">
      <c r="A4112" t="s">
        <v>17</v>
      </c>
      <c r="B4112">
        <v>4111</v>
      </c>
      <c r="C4112" t="s">
        <v>1263</v>
      </c>
      <c r="D4112" t="s">
        <v>42</v>
      </c>
      <c r="E4112">
        <v>2018</v>
      </c>
      <c r="F4112" t="s">
        <v>45</v>
      </c>
      <c r="G4112" t="s">
        <v>21</v>
      </c>
      <c r="H4112" t="s">
        <v>15</v>
      </c>
      <c r="I4112" t="s">
        <v>46</v>
      </c>
      <c r="J4112">
        <v>1.3066448E-2</v>
      </c>
      <c r="K4112">
        <v>0</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K4113">
        <v>0</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K4114">
        <v>0</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K4115">
        <v>0</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K4116">
        <v>0</v>
      </c>
      <c r="L4116">
        <v>99.67</v>
      </c>
      <c r="M4116">
        <v>3.9</v>
      </c>
    </row>
    <row r="4117" spans="1:13" x14ac:dyDescent="0.25">
      <c r="A4117" t="s">
        <v>17</v>
      </c>
      <c r="B4117">
        <v>4116</v>
      </c>
      <c r="C4117" t="s">
        <v>1252</v>
      </c>
      <c r="D4117" t="s">
        <v>54</v>
      </c>
      <c r="E4117">
        <v>2018</v>
      </c>
      <c r="F4117" t="s">
        <v>45</v>
      </c>
      <c r="G4117" t="s">
        <v>21</v>
      </c>
      <c r="H4117" t="s">
        <v>15</v>
      </c>
      <c r="I4117" t="s">
        <v>46</v>
      </c>
      <c r="J4117">
        <v>0.145464606</v>
      </c>
      <c r="K4117">
        <v>0</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K4118">
        <v>0</v>
      </c>
      <c r="L4118">
        <v>222.7088</v>
      </c>
      <c r="M4118">
        <v>3.9</v>
      </c>
    </row>
    <row r="4119" spans="1:13" x14ac:dyDescent="0.25">
      <c r="A4119" t="s">
        <v>17</v>
      </c>
      <c r="B4119">
        <v>4118</v>
      </c>
      <c r="C4119" t="s">
        <v>1537</v>
      </c>
      <c r="D4119" t="s">
        <v>32</v>
      </c>
      <c r="E4119">
        <v>2018</v>
      </c>
      <c r="F4119" t="s">
        <v>45</v>
      </c>
      <c r="G4119" t="s">
        <v>21</v>
      </c>
      <c r="H4119" t="s">
        <v>15</v>
      </c>
      <c r="I4119" t="s">
        <v>46</v>
      </c>
      <c r="J4119">
        <v>0</v>
      </c>
      <c r="K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K4120">
        <v>0</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K4121">
        <v>0</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K4122">
        <v>0</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K4123">
        <v>0</v>
      </c>
      <c r="L4123">
        <v>128.131</v>
      </c>
      <c r="M4123">
        <v>3.9</v>
      </c>
    </row>
    <row r="4124" spans="1:13" x14ac:dyDescent="0.25">
      <c r="A4124" t="s">
        <v>10</v>
      </c>
      <c r="B4124">
        <v>4123</v>
      </c>
      <c r="C4124" t="s">
        <v>1484</v>
      </c>
      <c r="D4124" t="s">
        <v>12</v>
      </c>
      <c r="E4124">
        <v>2018</v>
      </c>
      <c r="F4124" t="s">
        <v>45</v>
      </c>
      <c r="G4124" t="s">
        <v>21</v>
      </c>
      <c r="H4124" t="s">
        <v>15</v>
      </c>
      <c r="I4124" t="s">
        <v>46</v>
      </c>
      <c r="J4124">
        <v>2.2807826E-2</v>
      </c>
      <c r="K4124">
        <v>0</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K4125">
        <v>0</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K4126">
        <v>0</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K4127">
        <v>0</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K4128">
        <v>0</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K4129">
        <v>0</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K4130">
        <v>0</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K4136">
        <v>0</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K4140">
        <v>0</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K4152">
        <v>0</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1610</v>
      </c>
      <c r="B4178">
        <v>4177</v>
      </c>
      <c r="C4178" t="s">
        <v>605</v>
      </c>
      <c r="D4178" t="s">
        <v>48</v>
      </c>
      <c r="E4178">
        <v>2018</v>
      </c>
      <c r="F4178" t="s">
        <v>138</v>
      </c>
      <c r="G4178" t="s">
        <v>14</v>
      </c>
      <c r="H4178" t="s">
        <v>26</v>
      </c>
      <c r="I4178" t="s">
        <v>40</v>
      </c>
      <c r="J4178">
        <v>0.24830153199999999</v>
      </c>
      <c r="K4178">
        <v>0</v>
      </c>
      <c r="L4178">
        <v>124.10720000000001</v>
      </c>
      <c r="M4178">
        <v>3.8</v>
      </c>
    </row>
    <row r="4179" spans="1:13" x14ac:dyDescent="0.25">
      <c r="A4179" t="s">
        <v>1610</v>
      </c>
      <c r="B4179">
        <v>4178</v>
      </c>
      <c r="C4179" t="s">
        <v>1541</v>
      </c>
      <c r="D4179" t="s">
        <v>48</v>
      </c>
      <c r="E4179">
        <v>2018</v>
      </c>
      <c r="F4179" t="s">
        <v>138</v>
      </c>
      <c r="G4179" t="s">
        <v>14</v>
      </c>
      <c r="H4179" t="s">
        <v>26</v>
      </c>
      <c r="I4179" t="s">
        <v>40</v>
      </c>
      <c r="J4179">
        <v>0.30374337000000001</v>
      </c>
      <c r="K4179">
        <v>0</v>
      </c>
      <c r="L4179">
        <v>196.011</v>
      </c>
      <c r="M4179">
        <v>3.8</v>
      </c>
    </row>
    <row r="4180" spans="1:13" x14ac:dyDescent="0.25">
      <c r="A4180" t="s">
        <v>1610</v>
      </c>
      <c r="B4180">
        <v>4179</v>
      </c>
      <c r="C4180" t="s">
        <v>644</v>
      </c>
      <c r="D4180" t="s">
        <v>32</v>
      </c>
      <c r="E4180">
        <v>2018</v>
      </c>
      <c r="F4180" t="s">
        <v>138</v>
      </c>
      <c r="G4180" t="s">
        <v>14</v>
      </c>
      <c r="H4180" t="s">
        <v>26</v>
      </c>
      <c r="I4180" t="s">
        <v>40</v>
      </c>
      <c r="J4180">
        <v>3.3929133E-2</v>
      </c>
      <c r="K4180">
        <v>0</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K4181">
        <v>0</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K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K4183">
        <v>0</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K4184">
        <v>0</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K4185">
        <v>0</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K4186">
        <v>0</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K4187">
        <v>0</v>
      </c>
      <c r="L4187">
        <v>262.291</v>
      </c>
      <c r="M4187">
        <v>3.8</v>
      </c>
    </row>
    <row r="4188" spans="1:13" x14ac:dyDescent="0.25">
      <c r="A4188" t="s">
        <v>17</v>
      </c>
      <c r="B4188">
        <v>4187</v>
      </c>
      <c r="C4188" t="s">
        <v>631</v>
      </c>
      <c r="D4188" t="s">
        <v>64</v>
      </c>
      <c r="E4188">
        <v>2018</v>
      </c>
      <c r="F4188" t="s">
        <v>138</v>
      </c>
      <c r="G4188" t="s">
        <v>14</v>
      </c>
      <c r="H4188" t="s">
        <v>26</v>
      </c>
      <c r="I4188" t="s">
        <v>40</v>
      </c>
      <c r="J4188">
        <v>1.1835436E-2</v>
      </c>
      <c r="K4188">
        <v>0</v>
      </c>
      <c r="L4188">
        <v>121.373</v>
      </c>
      <c r="M4188">
        <v>3.8</v>
      </c>
    </row>
    <row r="4189" spans="1:13" x14ac:dyDescent="0.25">
      <c r="A4189" t="s">
        <v>10</v>
      </c>
      <c r="B4189">
        <v>4188</v>
      </c>
      <c r="C4189" t="s">
        <v>420</v>
      </c>
      <c r="D4189" t="s">
        <v>95</v>
      </c>
      <c r="E4189">
        <v>2018</v>
      </c>
      <c r="F4189" t="s">
        <v>138</v>
      </c>
      <c r="G4189" t="s">
        <v>14</v>
      </c>
      <c r="H4189" t="s">
        <v>26</v>
      </c>
      <c r="I4189" t="s">
        <v>40</v>
      </c>
      <c r="J4189">
        <v>0</v>
      </c>
      <c r="K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K4190">
        <v>0</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K4191">
        <v>0</v>
      </c>
      <c r="L4191">
        <v>107.1964</v>
      </c>
      <c r="M4191">
        <v>3.8</v>
      </c>
    </row>
    <row r="4192" spans="1:13" x14ac:dyDescent="0.25">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1610</v>
      </c>
      <c r="B4355">
        <v>4354</v>
      </c>
      <c r="C4355" t="s">
        <v>1019</v>
      </c>
      <c r="D4355" t="s">
        <v>12</v>
      </c>
      <c r="E4355">
        <v>2018</v>
      </c>
      <c r="F4355" t="s">
        <v>45</v>
      </c>
      <c r="G4355" t="s">
        <v>21</v>
      </c>
      <c r="H4355" t="s">
        <v>15</v>
      </c>
      <c r="I4355" t="s">
        <v>46</v>
      </c>
      <c r="J4355">
        <v>3.8377013000000001E-2</v>
      </c>
      <c r="K4355">
        <v>0</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K4356">
        <v>0</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K4357">
        <v>0</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K4358">
        <v>0</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K4359">
        <v>0</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K4360">
        <v>0</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K4361">
        <v>0</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K4362">
        <v>0</v>
      </c>
      <c r="L4362">
        <v>185.6266</v>
      </c>
      <c r="M4362">
        <v>3.8</v>
      </c>
    </row>
    <row r="4363" spans="1:13" x14ac:dyDescent="0.25">
      <c r="A4363" t="s">
        <v>17</v>
      </c>
      <c r="B4363">
        <v>4362</v>
      </c>
      <c r="C4363" t="s">
        <v>143</v>
      </c>
      <c r="D4363" t="s">
        <v>12</v>
      </c>
      <c r="E4363">
        <v>2018</v>
      </c>
      <c r="F4363" t="s">
        <v>45</v>
      </c>
      <c r="G4363" t="s">
        <v>21</v>
      </c>
      <c r="H4363" t="s">
        <v>15</v>
      </c>
      <c r="I4363" t="s">
        <v>46</v>
      </c>
      <c r="J4363">
        <v>2.5612348E-2</v>
      </c>
      <c r="K4363">
        <v>0</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K4364">
        <v>0</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K4365">
        <v>0</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K4366">
        <v>0</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K4367">
        <v>0</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K4368">
        <v>0</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K4369">
        <v>0</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K4370">
        <v>0</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K4371">
        <v>0</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K4372">
        <v>0</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K4373">
        <v>0</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K4374">
        <v>0</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K4375">
        <v>0</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K4376">
        <v>0</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K4377">
        <v>0</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K4378">
        <v>0</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K4379">
        <v>0</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K4380">
        <v>0</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K4381">
        <v>0</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K4382">
        <v>0</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K4383">
        <v>0</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K4386">
        <v>0</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K4389">
        <v>0</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K4393">
        <v>0</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K4394">
        <v>0</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K4395">
        <v>0</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K4396">
        <v>0</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K4403">
        <v>0</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K4434">
        <v>0</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K4435">
        <v>0</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K4436">
        <v>0</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K4437">
        <v>0</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K4438">
        <v>0</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K4439">
        <v>0</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K4440">
        <v>0</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K4441">
        <v>0</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K4442">
        <v>0</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K4443">
        <v>0</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K4444">
        <v>0</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K4445">
        <v>0</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K4446">
        <v>0</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K4578">
        <v>0</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K4579">
        <v>0</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K4580">
        <v>0</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K4581">
        <v>0</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K4582">
        <v>0</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K4583">
        <v>0</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K4584">
        <v>0</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K4585">
        <v>0</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K4586">
        <v>0</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K4587">
        <v>0</v>
      </c>
      <c r="L4587">
        <v>173.1422</v>
      </c>
      <c r="M4587">
        <v>3.7</v>
      </c>
    </row>
    <row r="4588" spans="1:13" x14ac:dyDescent="0.25">
      <c r="A4588" t="s">
        <v>10</v>
      </c>
      <c r="B4588">
        <v>4587</v>
      </c>
      <c r="C4588" t="s">
        <v>135</v>
      </c>
      <c r="D4588" t="s">
        <v>95</v>
      </c>
      <c r="E4588">
        <v>2018</v>
      </c>
      <c r="F4588" t="s">
        <v>45</v>
      </c>
      <c r="G4588" t="s">
        <v>21</v>
      </c>
      <c r="H4588" t="s">
        <v>15</v>
      </c>
      <c r="I4588" t="s">
        <v>46</v>
      </c>
      <c r="J4588">
        <v>0</v>
      </c>
      <c r="K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K4589">
        <v>0</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K4590">
        <v>0</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K4591">
        <v>0</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K4592">
        <v>0</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K4593">
        <v>0</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K4594">
        <v>0</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K4601">
        <v>0</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K4602">
        <v>0</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K4610">
        <v>0</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K4622">
        <v>0</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K4623">
        <v>0</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K4624">
        <v>0</v>
      </c>
      <c r="L4624">
        <v>153.934</v>
      </c>
      <c r="M4624">
        <v>3.6</v>
      </c>
    </row>
    <row r="4625" spans="1:13" x14ac:dyDescent="0.25">
      <c r="A4625" t="s">
        <v>17</v>
      </c>
      <c r="B4625">
        <v>4624</v>
      </c>
      <c r="C4625" t="s">
        <v>246</v>
      </c>
      <c r="D4625" t="s">
        <v>48</v>
      </c>
      <c r="E4625">
        <v>2018</v>
      </c>
      <c r="F4625" t="s">
        <v>138</v>
      </c>
      <c r="G4625" t="s">
        <v>14</v>
      </c>
      <c r="H4625" t="s">
        <v>26</v>
      </c>
      <c r="I4625" t="s">
        <v>40</v>
      </c>
      <c r="J4625">
        <v>0.160665697</v>
      </c>
      <c r="K4625">
        <v>0</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K4626">
        <v>0</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K4627">
        <v>0</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K4628">
        <v>0</v>
      </c>
      <c r="L4628">
        <v>230.5352</v>
      </c>
      <c r="M4628">
        <v>3.6</v>
      </c>
    </row>
    <row r="4629" spans="1:13" x14ac:dyDescent="0.25">
      <c r="A4629" t="s">
        <v>10</v>
      </c>
      <c r="B4629">
        <v>4628</v>
      </c>
      <c r="C4629" t="s">
        <v>262</v>
      </c>
      <c r="D4629" t="s">
        <v>48</v>
      </c>
      <c r="E4629">
        <v>2018</v>
      </c>
      <c r="F4629" t="s">
        <v>138</v>
      </c>
      <c r="G4629" t="s">
        <v>14</v>
      </c>
      <c r="H4629" t="s">
        <v>26</v>
      </c>
      <c r="I4629" t="s">
        <v>40</v>
      </c>
      <c r="J4629">
        <v>0</v>
      </c>
      <c r="K4629">
        <v>0</v>
      </c>
      <c r="L4629">
        <v>262.89100000000002</v>
      </c>
      <c r="M4629">
        <v>3.6</v>
      </c>
    </row>
    <row r="4630" spans="1:13" x14ac:dyDescent="0.25">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K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K4730">
        <v>0</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K4731">
        <v>0</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K4732">
        <v>0</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K4733">
        <v>0</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K4734">
        <v>0</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K4735">
        <v>0</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K4736">
        <v>0</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K4737">
        <v>0</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K4738">
        <v>0</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K4739">
        <v>0</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K4740">
        <v>0</v>
      </c>
      <c r="L4740">
        <v>103.499</v>
      </c>
      <c r="M4740">
        <v>3.6</v>
      </c>
    </row>
    <row r="4741" spans="1:13" x14ac:dyDescent="0.25">
      <c r="A4741" t="s">
        <v>10</v>
      </c>
      <c r="B4741">
        <v>4740</v>
      </c>
      <c r="C4741" t="s">
        <v>838</v>
      </c>
      <c r="D4741" t="s">
        <v>48</v>
      </c>
      <c r="E4741">
        <v>2018</v>
      </c>
      <c r="F4741" t="s">
        <v>45</v>
      </c>
      <c r="G4741" t="s">
        <v>21</v>
      </c>
      <c r="H4741" t="s">
        <v>15</v>
      </c>
      <c r="I4741" t="s">
        <v>46</v>
      </c>
      <c r="J4741">
        <v>5.6328717E-2</v>
      </c>
      <c r="K4741">
        <v>0</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K4742">
        <v>0</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K4743">
        <v>0</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K4744">
        <v>0</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K4768">
        <v>0</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K4785">
        <v>0</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K4786">
        <v>0</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K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K4788">
        <v>0</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K4898">
        <v>0</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K4899">
        <v>0</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K4900">
        <v>0</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K4901">
        <v>0</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K4902">
        <v>0</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K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K4904">
        <v>0</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K4905">
        <v>0</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K4906">
        <v>0</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K4907">
        <v>0</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K4908">
        <v>0</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K4909">
        <v>0</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K4910">
        <v>0</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K4911">
        <v>0</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K4912">
        <v>0</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K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K4914">
        <v>0</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K4915">
        <v>0</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K4933">
        <v>0</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K4934">
        <v>0</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K4935">
        <v>0</v>
      </c>
      <c r="L4935">
        <v>112.3518</v>
      </c>
      <c r="M4935">
        <v>3.4</v>
      </c>
    </row>
    <row r="4936" spans="1:13" x14ac:dyDescent="0.25">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K4995">
        <v>0</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K4996">
        <v>0</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K4997">
        <v>0</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K4998">
        <v>0</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K5001">
        <v>0</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K5009">
        <v>0</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K5011">
        <v>0</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1610</v>
      </c>
      <c r="B5021">
        <v>5020</v>
      </c>
      <c r="C5021" t="s">
        <v>1035</v>
      </c>
      <c r="D5021" t="s">
        <v>67</v>
      </c>
      <c r="E5021">
        <v>2018</v>
      </c>
      <c r="F5021" t="s">
        <v>138</v>
      </c>
      <c r="G5021" t="s">
        <v>14</v>
      </c>
      <c r="H5021" t="s">
        <v>26</v>
      </c>
      <c r="I5021" t="s">
        <v>40</v>
      </c>
      <c r="J5021">
        <v>0.144534212</v>
      </c>
      <c r="K5021">
        <v>0</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K5022">
        <v>0</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K5023">
        <v>0</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K5024">
        <v>0</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K5025">
        <v>0</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K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K5113">
        <v>0</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K5114">
        <v>0</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K5115">
        <v>0</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K5116">
        <v>0</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K5117">
        <v>0</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K5118">
        <v>0</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K5119">
        <v>0</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K5133">
        <v>0</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K5134">
        <v>0</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K5135">
        <v>0</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K5168">
        <v>0</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K5169">
        <v>0</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K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K5171">
        <v>0</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K5172">
        <v>0</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K5173">
        <v>0</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K5174">
        <v>0</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K5176">
        <v>0</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K5190">
        <v>0</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K5191">
        <v>0</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K5218">
        <v>0</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K5219">
        <v>0</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K5220">
        <v>0</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K5221">
        <v>0</v>
      </c>
      <c r="L5221">
        <v>141.9838</v>
      </c>
      <c r="M5221">
        <v>3.1</v>
      </c>
    </row>
    <row r="5222" spans="1:13" x14ac:dyDescent="0.25">
      <c r="A5222" t="s">
        <v>10</v>
      </c>
      <c r="B5222">
        <v>5221</v>
      </c>
      <c r="C5222" t="s">
        <v>457</v>
      </c>
      <c r="D5222" t="s">
        <v>54</v>
      </c>
      <c r="E5222">
        <v>2018</v>
      </c>
      <c r="F5222" t="s">
        <v>45</v>
      </c>
      <c r="G5222" t="s">
        <v>21</v>
      </c>
      <c r="H5222" t="s">
        <v>15</v>
      </c>
      <c r="I5222" t="s">
        <v>46</v>
      </c>
      <c r="J5222">
        <v>3.3276066E-2</v>
      </c>
      <c r="K5222">
        <v>0</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K5223">
        <v>0</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K5224">
        <v>0</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K5228">
        <v>0</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K5232">
        <v>0</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K5234">
        <v>0</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1610</v>
      </c>
      <c r="B5241">
        <v>5240</v>
      </c>
      <c r="C5241" t="s">
        <v>179</v>
      </c>
      <c r="D5241" t="s">
        <v>48</v>
      </c>
      <c r="E5241">
        <v>2018</v>
      </c>
      <c r="F5241" t="s">
        <v>45</v>
      </c>
      <c r="G5241" t="s">
        <v>21</v>
      </c>
      <c r="H5241" t="s">
        <v>15</v>
      </c>
      <c r="I5241" t="s">
        <v>46</v>
      </c>
      <c r="J5241">
        <v>7.6483450999999994E-2</v>
      </c>
      <c r="K5241">
        <v>0</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K5243">
        <v>0</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1610</v>
      </c>
      <c r="B5266">
        <v>5265</v>
      </c>
      <c r="C5266" t="s">
        <v>491</v>
      </c>
      <c r="D5266" t="s">
        <v>95</v>
      </c>
      <c r="E5266">
        <v>2018</v>
      </c>
      <c r="F5266" t="s">
        <v>138</v>
      </c>
      <c r="G5266" t="s">
        <v>14</v>
      </c>
      <c r="H5266" t="s">
        <v>26</v>
      </c>
      <c r="I5266" t="s">
        <v>40</v>
      </c>
      <c r="J5266">
        <v>0.30485910399999999</v>
      </c>
      <c r="K5266">
        <v>0</v>
      </c>
      <c r="L5266">
        <v>125.4362</v>
      </c>
      <c r="M5266">
        <v>3</v>
      </c>
    </row>
    <row r="5267" spans="1:13" x14ac:dyDescent="0.25">
      <c r="A5267" t="s">
        <v>17</v>
      </c>
      <c r="B5267">
        <v>5266</v>
      </c>
      <c r="C5267" t="s">
        <v>987</v>
      </c>
      <c r="D5267" t="s">
        <v>74</v>
      </c>
      <c r="E5267">
        <v>2018</v>
      </c>
      <c r="F5267" t="s">
        <v>138</v>
      </c>
      <c r="G5267" t="s">
        <v>14</v>
      </c>
      <c r="H5267" t="s">
        <v>26</v>
      </c>
      <c r="I5267" t="s">
        <v>40</v>
      </c>
      <c r="J5267">
        <v>0.266234421</v>
      </c>
      <c r="K5267">
        <v>0</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K5268">
        <v>0</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K5269">
        <v>0</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K5270">
        <v>0</v>
      </c>
      <c r="L5270">
        <v>241.3854</v>
      </c>
      <c r="M5270">
        <v>3</v>
      </c>
    </row>
    <row r="5271" spans="1:13" x14ac:dyDescent="0.25">
      <c r="A5271" t="s">
        <v>17</v>
      </c>
      <c r="B5271">
        <v>5270</v>
      </c>
      <c r="C5271" t="s">
        <v>909</v>
      </c>
      <c r="D5271" t="s">
        <v>12</v>
      </c>
      <c r="E5271">
        <v>2018</v>
      </c>
      <c r="F5271" t="s">
        <v>138</v>
      </c>
      <c r="G5271" t="s">
        <v>14</v>
      </c>
      <c r="H5271" t="s">
        <v>26</v>
      </c>
      <c r="I5271" t="s">
        <v>40</v>
      </c>
      <c r="J5271">
        <v>7.0660449E-2</v>
      </c>
      <c r="K5271">
        <v>0</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K5272">
        <v>0</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K5273">
        <v>0</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K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1610</v>
      </c>
      <c r="B5394">
        <v>5393</v>
      </c>
      <c r="C5394" t="s">
        <v>106</v>
      </c>
      <c r="D5394" t="s">
        <v>61</v>
      </c>
      <c r="E5394">
        <v>2018</v>
      </c>
      <c r="F5394" t="s">
        <v>45</v>
      </c>
      <c r="G5394" t="s">
        <v>21</v>
      </c>
      <c r="H5394" t="s">
        <v>15</v>
      </c>
      <c r="I5394" t="s">
        <v>46</v>
      </c>
      <c r="J5394">
        <v>3.5746979999999999E-3</v>
      </c>
      <c r="K5394">
        <v>0</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K5395">
        <v>0</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K5396">
        <v>0</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K5397">
        <v>0</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K5398">
        <v>0</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K5399">
        <v>0</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K5400">
        <v>0</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K5401">
        <v>0</v>
      </c>
      <c r="L5401">
        <v>46.206000000000003</v>
      </c>
      <c r="M5401">
        <v>3</v>
      </c>
    </row>
    <row r="5402" spans="1:13" x14ac:dyDescent="0.25">
      <c r="A5402" t="s">
        <v>17</v>
      </c>
      <c r="B5402">
        <v>5401</v>
      </c>
      <c r="C5402" t="s">
        <v>41</v>
      </c>
      <c r="D5402" t="s">
        <v>42</v>
      </c>
      <c r="E5402">
        <v>2018</v>
      </c>
      <c r="F5402" t="s">
        <v>45</v>
      </c>
      <c r="G5402" t="s">
        <v>21</v>
      </c>
      <c r="H5402" t="s">
        <v>15</v>
      </c>
      <c r="I5402" t="s">
        <v>46</v>
      </c>
      <c r="J5402">
        <v>0</v>
      </c>
      <c r="K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K5403">
        <v>0</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K5404">
        <v>0</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K5405">
        <v>0</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K5406">
        <v>0</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K5407">
        <v>0</v>
      </c>
      <c r="L5407">
        <v>164.8526</v>
      </c>
      <c r="M5407">
        <v>3</v>
      </c>
    </row>
    <row r="5408" spans="1:13" x14ac:dyDescent="0.25">
      <c r="A5408" t="s">
        <v>17</v>
      </c>
      <c r="B5408">
        <v>5407</v>
      </c>
      <c r="C5408" t="s">
        <v>1566</v>
      </c>
      <c r="D5408" t="s">
        <v>48</v>
      </c>
      <c r="E5408">
        <v>2018</v>
      </c>
      <c r="F5408" t="s">
        <v>45</v>
      </c>
      <c r="G5408" t="s">
        <v>21</v>
      </c>
      <c r="H5408" t="s">
        <v>15</v>
      </c>
      <c r="I5408" t="s">
        <v>46</v>
      </c>
      <c r="J5408">
        <v>0.104348025</v>
      </c>
      <c r="K5408">
        <v>0</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K5409">
        <v>0</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K5410">
        <v>0</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K5411">
        <v>0</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K5412">
        <v>0</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K5413">
        <v>0</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K5414">
        <v>0</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K5415">
        <v>0</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K5416">
        <v>0</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K5421">
        <v>0</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K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K5439">
        <v>0</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K5440">
        <v>0</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K5445">
        <v>0</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K5449">
        <v>0</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K5454">
        <v>0</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K5482">
        <v>0</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K5483">
        <v>0</v>
      </c>
      <c r="L5483">
        <v>251.904</v>
      </c>
      <c r="M5483">
        <v>2.8</v>
      </c>
    </row>
    <row r="5484" spans="1:13" x14ac:dyDescent="0.25">
      <c r="A5484" t="s">
        <v>17</v>
      </c>
      <c r="B5484">
        <v>5483</v>
      </c>
      <c r="C5484" t="s">
        <v>1085</v>
      </c>
      <c r="D5484" t="s">
        <v>19</v>
      </c>
      <c r="E5484">
        <v>2018</v>
      </c>
      <c r="F5484" t="s">
        <v>45</v>
      </c>
      <c r="G5484" t="s">
        <v>21</v>
      </c>
      <c r="H5484" t="s">
        <v>15</v>
      </c>
      <c r="I5484" t="s">
        <v>46</v>
      </c>
      <c r="J5484">
        <v>0.174336148</v>
      </c>
      <c r="K5484">
        <v>0</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K5485">
        <v>0</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K5486">
        <v>0</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K5487">
        <v>0</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K5488">
        <v>0</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K5489">
        <v>0</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K5492">
        <v>0</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1610</v>
      </c>
      <c r="B5510">
        <v>5509</v>
      </c>
      <c r="C5510" t="s">
        <v>205</v>
      </c>
      <c r="D5510" t="s">
        <v>24</v>
      </c>
      <c r="E5510">
        <v>2018</v>
      </c>
      <c r="F5510" t="s">
        <v>45</v>
      </c>
      <c r="G5510" t="s">
        <v>21</v>
      </c>
      <c r="H5510" t="s">
        <v>15</v>
      </c>
      <c r="I5510" t="s">
        <v>46</v>
      </c>
      <c r="J5510">
        <v>0.12692409499999999</v>
      </c>
      <c r="K5510">
        <v>0</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K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K5539">
        <v>0</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K5570">
        <v>0</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K5571">
        <v>0</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K5572">
        <v>0</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K5574">
        <v>0</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K5575">
        <v>0</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K5583">
        <v>0</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K5586">
        <v>0</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K5587">
        <v>0</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K5591">
        <v>0</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K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K5606">
        <v>0</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K5607">
        <v>0</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K5608">
        <v>0</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K5609">
        <v>0</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K5618">
        <v>0</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K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K5633">
        <v>0</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K5639">
        <v>0</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K5640">
        <v>0</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K5641">
        <v>0</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K5642">
        <v>0</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K5692">
        <v>0</v>
      </c>
      <c r="L5692">
        <v>122.4098</v>
      </c>
      <c r="M5692">
        <v>2</v>
      </c>
    </row>
    <row r="5693" spans="1:13" x14ac:dyDescent="0.25">
      <c r="A5693" t="s">
        <v>17</v>
      </c>
      <c r="B5693">
        <v>5692</v>
      </c>
      <c r="C5693" t="s">
        <v>1037</v>
      </c>
      <c r="D5693" t="s">
        <v>24</v>
      </c>
      <c r="E5693">
        <v>2018</v>
      </c>
      <c r="F5693" t="s">
        <v>45</v>
      </c>
      <c r="G5693" t="s">
        <v>21</v>
      </c>
      <c r="H5693" t="s">
        <v>15</v>
      </c>
      <c r="I5693" t="s">
        <v>46</v>
      </c>
      <c r="J5693">
        <v>2.2457694E-2</v>
      </c>
      <c r="K5693">
        <v>0</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K5694">
        <v>0</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K5695">
        <v>0</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K5696">
        <v>0</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K5704">
        <v>0</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K5712">
        <v>0</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1610</v>
      </c>
      <c r="B5721">
        <v>5720</v>
      </c>
      <c r="C5721" t="s">
        <v>353</v>
      </c>
      <c r="D5721" t="s">
        <v>42</v>
      </c>
      <c r="E5721">
        <v>2018</v>
      </c>
      <c r="F5721" t="s">
        <v>45</v>
      </c>
      <c r="G5721" t="s">
        <v>21</v>
      </c>
      <c r="H5721" t="s">
        <v>15</v>
      </c>
      <c r="I5721" t="s">
        <v>46</v>
      </c>
      <c r="J5721">
        <v>1.6910913999999999E-2</v>
      </c>
      <c r="K5721">
        <v>0</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K5722">
        <v>0</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K5723">
        <v>0</v>
      </c>
      <c r="L5723">
        <v>172.83959999999999</v>
      </c>
      <c r="M5723">
        <v>1.4</v>
      </c>
    </row>
    <row r="5724" spans="1:13" x14ac:dyDescent="0.25">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K5727">
        <v>0</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1610</v>
      </c>
      <c r="B5736">
        <v>5735</v>
      </c>
      <c r="C5736" t="s">
        <v>842</v>
      </c>
      <c r="D5736" t="s">
        <v>57</v>
      </c>
      <c r="E5736">
        <v>2018</v>
      </c>
      <c r="F5736" t="s">
        <v>45</v>
      </c>
      <c r="G5736" t="s">
        <v>21</v>
      </c>
      <c r="H5736" t="s">
        <v>15</v>
      </c>
      <c r="I5736" t="s">
        <v>46</v>
      </c>
      <c r="J5736">
        <v>0.110681931</v>
      </c>
      <c r="K5736">
        <v>0</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K5749">
        <v>0</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K5750">
        <v>0</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K5751">
        <v>0</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1610</v>
      </c>
      <c r="B5829">
        <v>5828</v>
      </c>
      <c r="C5829" t="s">
        <v>459</v>
      </c>
      <c r="D5829" t="s">
        <v>19</v>
      </c>
      <c r="E5829">
        <v>2018</v>
      </c>
      <c r="F5829" t="s">
        <v>45</v>
      </c>
      <c r="G5829" t="s">
        <v>21</v>
      </c>
      <c r="H5829" t="s">
        <v>15</v>
      </c>
      <c r="I5829" t="s">
        <v>46</v>
      </c>
      <c r="J5829">
        <v>1.6956266000000001E-2</v>
      </c>
      <c r="K5829">
        <v>0</v>
      </c>
      <c r="L5829">
        <v>109.3228</v>
      </c>
      <c r="M5829">
        <v>1</v>
      </c>
    </row>
    <row r="5830" spans="1:13" x14ac:dyDescent="0.25">
      <c r="A5830" t="s">
        <v>17</v>
      </c>
      <c r="B5830">
        <v>5829</v>
      </c>
      <c r="C5830" t="s">
        <v>1502</v>
      </c>
      <c r="D5830" t="s">
        <v>95</v>
      </c>
      <c r="E5830">
        <v>2018</v>
      </c>
      <c r="F5830" t="s">
        <v>45</v>
      </c>
      <c r="G5830" t="s">
        <v>21</v>
      </c>
      <c r="H5830" t="s">
        <v>15</v>
      </c>
      <c r="I5830" t="s">
        <v>46</v>
      </c>
      <c r="J5830">
        <v>0</v>
      </c>
      <c r="K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K5831">
        <v>0</v>
      </c>
      <c r="L5831">
        <v>120.7414</v>
      </c>
      <c r="M5831">
        <v>1</v>
      </c>
    </row>
    <row r="5832" spans="1:13" x14ac:dyDescent="0.25">
      <c r="A5832" t="s">
        <v>17</v>
      </c>
      <c r="B5832">
        <v>5831</v>
      </c>
      <c r="C5832" t="s">
        <v>235</v>
      </c>
      <c r="D5832" t="s">
        <v>61</v>
      </c>
      <c r="E5832">
        <v>2018</v>
      </c>
      <c r="F5832" t="s">
        <v>45</v>
      </c>
      <c r="G5832" t="s">
        <v>21</v>
      </c>
      <c r="H5832" t="s">
        <v>15</v>
      </c>
      <c r="I5832" t="s">
        <v>46</v>
      </c>
      <c r="J5832">
        <v>0</v>
      </c>
      <c r="K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K5833">
        <v>0</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K5834">
        <v>0</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K5835">
        <v>0</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K5836">
        <v>0</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K5837">
        <v>0</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K5838">
        <v>0</v>
      </c>
      <c r="L5838">
        <v>46.2376</v>
      </c>
      <c r="M5838">
        <v>1</v>
      </c>
    </row>
    <row r="5839" spans="1:13" x14ac:dyDescent="0.25">
      <c r="A5839" t="s">
        <v>10</v>
      </c>
      <c r="B5839">
        <v>5838</v>
      </c>
      <c r="C5839" t="s">
        <v>1158</v>
      </c>
      <c r="D5839" t="s">
        <v>12</v>
      </c>
      <c r="E5839">
        <v>2018</v>
      </c>
      <c r="F5839" t="s">
        <v>45</v>
      </c>
      <c r="G5839" t="s">
        <v>21</v>
      </c>
      <c r="H5839" t="s">
        <v>15</v>
      </c>
      <c r="I5839" t="s">
        <v>46</v>
      </c>
      <c r="J5839">
        <v>0</v>
      </c>
      <c r="K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K5840">
        <v>0</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K5842">
        <v>0</v>
      </c>
      <c r="L5842">
        <v>180.03440000000001</v>
      </c>
      <c r="M5842">
        <v>4</v>
      </c>
    </row>
    <row r="5843" spans="1:13" x14ac:dyDescent="0.25">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K5849">
        <v>0</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K5850">
        <v>0</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K5857">
        <v>0</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K5859">
        <v>0</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K5868">
        <v>0</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K5869">
        <v>0</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K5874">
        <v>0</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K5881">
        <v>0</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K5882">
        <v>0</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K5884">
        <v>0</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K5888">
        <v>0</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K5898">
        <v>0</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K5900">
        <v>0</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K5902">
        <v>0</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K5907">
        <v>0</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K5919">
        <v>0</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K5920">
        <v>0</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K5922">
        <v>0</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K5927">
        <v>0</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K5936">
        <v>0</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K5938">
        <v>0</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K5939">
        <v>0</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K5947">
        <v>0</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K5953">
        <v>0</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K5954">
        <v>0</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K5957">
        <v>0</v>
      </c>
      <c r="L5957">
        <v>52.666600000000003</v>
      </c>
      <c r="M5957">
        <v>4</v>
      </c>
    </row>
    <row r="5958" spans="1:13" x14ac:dyDescent="0.25">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K5961">
        <v>0</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K5963">
        <v>0</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K5965">
        <v>0</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K5970">
        <v>0</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K5972">
        <v>0</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K5977">
        <v>0</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K5982">
        <v>0</v>
      </c>
      <c r="L5982">
        <v>184.72659999999999</v>
      </c>
      <c r="M5982">
        <v>4</v>
      </c>
    </row>
    <row r="5983" spans="1:13" x14ac:dyDescent="0.25">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K5984">
        <v>0</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K5986">
        <v>0</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K5989">
        <v>0</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K5998">
        <v>0</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K6001">
        <v>0</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K6009">
        <v>0</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K6014">
        <v>0</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1610</v>
      </c>
      <c r="B6020">
        <v>6019</v>
      </c>
      <c r="C6020" t="s">
        <v>1539</v>
      </c>
      <c r="D6020" t="s">
        <v>159</v>
      </c>
      <c r="E6020">
        <v>2018</v>
      </c>
      <c r="F6020" t="s">
        <v>45</v>
      </c>
      <c r="G6020" t="s">
        <v>21</v>
      </c>
      <c r="H6020" t="s">
        <v>15</v>
      </c>
      <c r="I6020" t="s">
        <v>46</v>
      </c>
      <c r="J6020">
        <v>0.14110620199999999</v>
      </c>
      <c r="K6020">
        <v>0</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K6030">
        <v>0</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K6031">
        <v>0</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K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K6047">
        <v>0</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K6055">
        <v>0</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K6056">
        <v>0</v>
      </c>
      <c r="L6056">
        <v>116.8124</v>
      </c>
      <c r="M6056">
        <v>4</v>
      </c>
    </row>
    <row r="6057" spans="1:13" x14ac:dyDescent="0.25">
      <c r="A6057" t="s">
        <v>17</v>
      </c>
      <c r="B6057">
        <v>6056</v>
      </c>
      <c r="C6057" t="s">
        <v>334</v>
      </c>
      <c r="D6057" t="s">
        <v>32</v>
      </c>
      <c r="E6057">
        <v>2018</v>
      </c>
      <c r="F6057" t="s">
        <v>45</v>
      </c>
      <c r="G6057" t="s">
        <v>21</v>
      </c>
      <c r="H6057" t="s">
        <v>15</v>
      </c>
      <c r="I6057" t="s">
        <v>46</v>
      </c>
      <c r="J6057">
        <v>1.4522363E-2</v>
      </c>
      <c r="K6057">
        <v>0</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K6062">
        <v>0</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K6066">
        <v>0</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K6068">
        <v>0</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K6071">
        <v>0</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K6085">
        <v>0</v>
      </c>
      <c r="L6085">
        <v>153.4682</v>
      </c>
      <c r="M6085">
        <v>4</v>
      </c>
    </row>
    <row r="6086" spans="1:13" x14ac:dyDescent="0.25">
      <c r="A6086" t="s">
        <v>17</v>
      </c>
      <c r="B6086">
        <v>6085</v>
      </c>
      <c r="C6086" t="s">
        <v>94</v>
      </c>
      <c r="D6086" t="s">
        <v>95</v>
      </c>
      <c r="E6086">
        <v>2018</v>
      </c>
      <c r="F6086" t="s">
        <v>45</v>
      </c>
      <c r="G6086" t="s">
        <v>21</v>
      </c>
      <c r="H6086" t="s">
        <v>15</v>
      </c>
      <c r="I6086" t="s">
        <v>46</v>
      </c>
      <c r="J6086">
        <v>1.4560297E-2</v>
      </c>
      <c r="K6086">
        <v>0</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K6087">
        <v>0</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K6094">
        <v>0</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K6095">
        <v>0</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1610</v>
      </c>
      <c r="B6099">
        <v>6098</v>
      </c>
      <c r="C6099" t="s">
        <v>737</v>
      </c>
      <c r="D6099" t="s">
        <v>95</v>
      </c>
      <c r="E6099">
        <v>2018</v>
      </c>
      <c r="F6099" t="s">
        <v>45</v>
      </c>
      <c r="G6099" t="s">
        <v>21</v>
      </c>
      <c r="H6099" t="s">
        <v>15</v>
      </c>
      <c r="I6099" t="s">
        <v>46</v>
      </c>
      <c r="J6099">
        <v>8.0711179999999993E-2</v>
      </c>
      <c r="K6099">
        <v>0</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K6102">
        <v>0</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K6105">
        <v>0</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K6107">
        <v>0</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K6109">
        <v>0</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K6111">
        <v>0</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K6112">
        <v>0</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K6114">
        <v>0</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K6124">
        <v>0</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K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K6134">
        <v>0</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K6138">
        <v>0</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K6139">
        <v>0</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K6149">
        <v>0</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K6152">
        <v>0</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1610</v>
      </c>
      <c r="B6425">
        <v>6424</v>
      </c>
      <c r="C6425" t="s">
        <v>793</v>
      </c>
      <c r="D6425" t="s">
        <v>12</v>
      </c>
      <c r="E6425">
        <v>2018</v>
      </c>
      <c r="F6425" t="s">
        <v>138</v>
      </c>
      <c r="G6425" t="s">
        <v>14</v>
      </c>
      <c r="H6425" t="s">
        <v>26</v>
      </c>
      <c r="I6425" t="s">
        <v>40</v>
      </c>
      <c r="J6425">
        <v>5.4363970999999997E-2</v>
      </c>
      <c r="K6425">
        <v>0</v>
      </c>
      <c r="L6425">
        <v>105.099</v>
      </c>
      <c r="M6425">
        <v>4</v>
      </c>
    </row>
    <row r="6426" spans="1:13" x14ac:dyDescent="0.25">
      <c r="A6426" t="s">
        <v>1610</v>
      </c>
      <c r="B6426">
        <v>6425</v>
      </c>
      <c r="C6426" t="s">
        <v>668</v>
      </c>
      <c r="D6426" t="s">
        <v>12</v>
      </c>
      <c r="E6426">
        <v>2018</v>
      </c>
      <c r="F6426" t="s">
        <v>138</v>
      </c>
      <c r="G6426" t="s">
        <v>14</v>
      </c>
      <c r="H6426" t="s">
        <v>26</v>
      </c>
      <c r="I6426" t="s">
        <v>40</v>
      </c>
      <c r="J6426">
        <v>0</v>
      </c>
      <c r="K6426">
        <v>0</v>
      </c>
      <c r="L6426">
        <v>258.39879999999999</v>
      </c>
      <c r="M6426">
        <v>4</v>
      </c>
    </row>
    <row r="6427" spans="1:13" x14ac:dyDescent="0.25">
      <c r="A6427" t="s">
        <v>1610</v>
      </c>
      <c r="B6427">
        <v>6426</v>
      </c>
      <c r="C6427" t="s">
        <v>301</v>
      </c>
      <c r="D6427" t="s">
        <v>42</v>
      </c>
      <c r="E6427">
        <v>2018</v>
      </c>
      <c r="F6427" t="s">
        <v>138</v>
      </c>
      <c r="G6427" t="s">
        <v>14</v>
      </c>
      <c r="H6427" t="s">
        <v>26</v>
      </c>
      <c r="I6427" t="s">
        <v>40</v>
      </c>
      <c r="J6427">
        <v>5.8827583000000003E-2</v>
      </c>
      <c r="K6427">
        <v>0</v>
      </c>
      <c r="L6427">
        <v>110.49120000000001</v>
      </c>
      <c r="M6427">
        <v>4</v>
      </c>
    </row>
    <row r="6428" spans="1:13" x14ac:dyDescent="0.25">
      <c r="A6428" t="s">
        <v>1610</v>
      </c>
      <c r="B6428">
        <v>6427</v>
      </c>
      <c r="C6428" t="s">
        <v>1150</v>
      </c>
      <c r="D6428" t="s">
        <v>42</v>
      </c>
      <c r="E6428">
        <v>2018</v>
      </c>
      <c r="F6428" t="s">
        <v>138</v>
      </c>
      <c r="G6428" t="s">
        <v>14</v>
      </c>
      <c r="H6428" t="s">
        <v>26</v>
      </c>
      <c r="I6428" t="s">
        <v>40</v>
      </c>
      <c r="J6428">
        <v>4.6609281000000002E-2</v>
      </c>
      <c r="K6428">
        <v>0</v>
      </c>
      <c r="L6428">
        <v>248.67760000000001</v>
      </c>
      <c r="M6428">
        <v>4</v>
      </c>
    </row>
    <row r="6429" spans="1:13" x14ac:dyDescent="0.25">
      <c r="A6429" t="s">
        <v>1610</v>
      </c>
      <c r="B6429">
        <v>6428</v>
      </c>
      <c r="C6429" t="s">
        <v>1072</v>
      </c>
      <c r="D6429" t="s">
        <v>48</v>
      </c>
      <c r="E6429">
        <v>2018</v>
      </c>
      <c r="F6429" t="s">
        <v>138</v>
      </c>
      <c r="G6429" t="s">
        <v>14</v>
      </c>
      <c r="H6429" t="s">
        <v>26</v>
      </c>
      <c r="I6429" t="s">
        <v>40</v>
      </c>
      <c r="J6429">
        <v>0.28406587900000002</v>
      </c>
      <c r="K6429">
        <v>0</v>
      </c>
      <c r="L6429">
        <v>105.5622</v>
      </c>
      <c r="M6429">
        <v>4</v>
      </c>
    </row>
    <row r="6430" spans="1:13" x14ac:dyDescent="0.25">
      <c r="A6430" t="s">
        <v>1610</v>
      </c>
      <c r="B6430">
        <v>6429</v>
      </c>
      <c r="C6430" t="s">
        <v>1242</v>
      </c>
      <c r="D6430" t="s">
        <v>32</v>
      </c>
      <c r="E6430">
        <v>2018</v>
      </c>
      <c r="F6430" t="s">
        <v>138</v>
      </c>
      <c r="G6430" t="s">
        <v>14</v>
      </c>
      <c r="H6430" t="s">
        <v>26</v>
      </c>
      <c r="I6430" t="s">
        <v>40</v>
      </c>
      <c r="J6430">
        <v>0</v>
      </c>
      <c r="K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K6431">
        <v>0</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K6432">
        <v>0</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K6433">
        <v>0</v>
      </c>
      <c r="L6433">
        <v>107.128</v>
      </c>
      <c r="M6433">
        <v>4</v>
      </c>
    </row>
    <row r="6434" spans="1:13" x14ac:dyDescent="0.25">
      <c r="A6434" t="s">
        <v>17</v>
      </c>
      <c r="B6434">
        <v>6433</v>
      </c>
      <c r="C6434" t="s">
        <v>478</v>
      </c>
      <c r="D6434" t="s">
        <v>95</v>
      </c>
      <c r="E6434">
        <v>2018</v>
      </c>
      <c r="F6434" t="s">
        <v>138</v>
      </c>
      <c r="G6434" t="s">
        <v>14</v>
      </c>
      <c r="H6434" t="s">
        <v>26</v>
      </c>
      <c r="I6434" t="s">
        <v>40</v>
      </c>
      <c r="J6434">
        <v>0.105893301</v>
      </c>
      <c r="K6434">
        <v>0</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K6435">
        <v>0</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K6436">
        <v>0</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K6437">
        <v>0</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K6438">
        <v>0</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K6439">
        <v>0</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K6440">
        <v>0</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K6441">
        <v>0</v>
      </c>
      <c r="L6441">
        <v>121.7414</v>
      </c>
      <c r="M6441">
        <v>4</v>
      </c>
    </row>
    <row r="6442" spans="1:13" x14ac:dyDescent="0.25">
      <c r="A6442" t="s">
        <v>17</v>
      </c>
      <c r="B6442">
        <v>6441</v>
      </c>
      <c r="C6442" t="s">
        <v>343</v>
      </c>
      <c r="D6442" t="s">
        <v>57</v>
      </c>
      <c r="E6442">
        <v>2018</v>
      </c>
      <c r="F6442" t="s">
        <v>138</v>
      </c>
      <c r="G6442" t="s">
        <v>14</v>
      </c>
      <c r="H6442" t="s">
        <v>26</v>
      </c>
      <c r="I6442" t="s">
        <v>40</v>
      </c>
      <c r="J6442">
        <v>3.627089E-2</v>
      </c>
      <c r="K6442">
        <v>0</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K6443">
        <v>0</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K6444">
        <v>0</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K6445">
        <v>0</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K6446">
        <v>0</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K6447">
        <v>0</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K6448">
        <v>0</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K6449">
        <v>0</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K6450">
        <v>0</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K6451">
        <v>0</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K6452">
        <v>0</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K6453">
        <v>0</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K6454">
        <v>0</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K6455">
        <v>0</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K6456">
        <v>0</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K6457">
        <v>0</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K6458">
        <v>0</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K6459">
        <v>0</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K6460">
        <v>0</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K6461">
        <v>0</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K6462">
        <v>0</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K6463">
        <v>0</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K6464">
        <v>0</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K6465">
        <v>0</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K6466">
        <v>0</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K6467">
        <v>0</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K6468">
        <v>0</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K6469">
        <v>0</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K6470">
        <v>0</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K6471">
        <v>0</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K6472">
        <v>0</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K6473">
        <v>0</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K6474">
        <v>0</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K6475">
        <v>0</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K6476">
        <v>0</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K6477">
        <v>0</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K6478">
        <v>0</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K6479">
        <v>0</v>
      </c>
      <c r="L6479">
        <v>177.0712</v>
      </c>
      <c r="M6479">
        <v>4</v>
      </c>
    </row>
    <row r="6480" spans="1:13" x14ac:dyDescent="0.25">
      <c r="A6480" t="s">
        <v>17</v>
      </c>
      <c r="B6480">
        <v>6479</v>
      </c>
      <c r="C6480" t="s">
        <v>215</v>
      </c>
      <c r="D6480" t="s">
        <v>42</v>
      </c>
      <c r="E6480">
        <v>2018</v>
      </c>
      <c r="F6480" t="s">
        <v>138</v>
      </c>
      <c r="G6480" t="s">
        <v>14</v>
      </c>
      <c r="H6480" t="s">
        <v>26</v>
      </c>
      <c r="I6480" t="s">
        <v>40</v>
      </c>
      <c r="J6480">
        <v>0.123557061</v>
      </c>
      <c r="K6480">
        <v>0</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K6481">
        <v>0</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K6482">
        <v>0</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K6483">
        <v>0</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K6484">
        <v>0</v>
      </c>
      <c r="L6484">
        <v>102.7332</v>
      </c>
      <c r="M6484">
        <v>4</v>
      </c>
    </row>
    <row r="6485" spans="1:13" x14ac:dyDescent="0.25">
      <c r="A6485" t="s">
        <v>17</v>
      </c>
      <c r="B6485">
        <v>6484</v>
      </c>
      <c r="C6485" t="s">
        <v>115</v>
      </c>
      <c r="D6485" t="s">
        <v>42</v>
      </c>
      <c r="E6485">
        <v>2018</v>
      </c>
      <c r="F6485" t="s">
        <v>138</v>
      </c>
      <c r="G6485" t="s">
        <v>14</v>
      </c>
      <c r="H6485" t="s">
        <v>26</v>
      </c>
      <c r="I6485" t="s">
        <v>40</v>
      </c>
      <c r="J6485">
        <v>0.117825569</v>
      </c>
      <c r="K6485">
        <v>0</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K6486">
        <v>0</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K6487">
        <v>0</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K6488">
        <v>0</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K6489">
        <v>0</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K6490">
        <v>0</v>
      </c>
      <c r="L6490">
        <v>194.911</v>
      </c>
      <c r="M6490">
        <v>4</v>
      </c>
    </row>
    <row r="6491" spans="1:13" x14ac:dyDescent="0.25">
      <c r="A6491" t="s">
        <v>17</v>
      </c>
      <c r="B6491">
        <v>6490</v>
      </c>
      <c r="C6491" t="s">
        <v>240</v>
      </c>
      <c r="D6491" t="s">
        <v>42</v>
      </c>
      <c r="E6491">
        <v>2018</v>
      </c>
      <c r="F6491" t="s">
        <v>138</v>
      </c>
      <c r="G6491" t="s">
        <v>14</v>
      </c>
      <c r="H6491" t="s">
        <v>26</v>
      </c>
      <c r="I6491" t="s">
        <v>40</v>
      </c>
      <c r="J6491">
        <v>1.0467749E-2</v>
      </c>
      <c r="K6491">
        <v>0</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K6492">
        <v>0</v>
      </c>
      <c r="L6492">
        <v>252.7698</v>
      </c>
      <c r="M6492">
        <v>4</v>
      </c>
    </row>
    <row r="6493" spans="1:13" x14ac:dyDescent="0.25">
      <c r="A6493" t="s">
        <v>17</v>
      </c>
      <c r="B6493">
        <v>6492</v>
      </c>
      <c r="C6493" t="s">
        <v>53</v>
      </c>
      <c r="D6493" t="s">
        <v>54</v>
      </c>
      <c r="E6493">
        <v>2018</v>
      </c>
      <c r="F6493" t="s">
        <v>138</v>
      </c>
      <c r="G6493" t="s">
        <v>14</v>
      </c>
      <c r="H6493" t="s">
        <v>26</v>
      </c>
      <c r="I6493" t="s">
        <v>40</v>
      </c>
      <c r="J6493">
        <v>5.7933643E-2</v>
      </c>
      <c r="K6493">
        <v>0</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K6494">
        <v>0</v>
      </c>
      <c r="L6494">
        <v>190.953</v>
      </c>
      <c r="M6494">
        <v>4</v>
      </c>
    </row>
    <row r="6495" spans="1:13" x14ac:dyDescent="0.25">
      <c r="A6495" t="s">
        <v>17</v>
      </c>
      <c r="B6495">
        <v>6494</v>
      </c>
      <c r="C6495" t="s">
        <v>1369</v>
      </c>
      <c r="D6495" t="s">
        <v>54</v>
      </c>
      <c r="E6495">
        <v>2018</v>
      </c>
      <c r="F6495" t="s">
        <v>138</v>
      </c>
      <c r="G6495" t="s">
        <v>14</v>
      </c>
      <c r="H6495" t="s">
        <v>26</v>
      </c>
      <c r="I6495" t="s">
        <v>40</v>
      </c>
      <c r="J6495">
        <v>0</v>
      </c>
      <c r="K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K6496">
        <v>0</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K6497">
        <v>0</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K6498">
        <v>0</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K6499">
        <v>0</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K6500">
        <v>0</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K6501">
        <v>0</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K6502">
        <v>0</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K6503">
        <v>0</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K6504">
        <v>0</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K6505">
        <v>0</v>
      </c>
      <c r="L6505">
        <v>242.417</v>
      </c>
      <c r="M6505">
        <v>4</v>
      </c>
    </row>
    <row r="6506" spans="1:13" x14ac:dyDescent="0.25">
      <c r="A6506" t="s">
        <v>17</v>
      </c>
      <c r="B6506">
        <v>6505</v>
      </c>
      <c r="C6506" t="s">
        <v>1566</v>
      </c>
      <c r="D6506" t="s">
        <v>48</v>
      </c>
      <c r="E6506">
        <v>2018</v>
      </c>
      <c r="F6506" t="s">
        <v>138</v>
      </c>
      <c r="G6506" t="s">
        <v>14</v>
      </c>
      <c r="H6506" t="s">
        <v>26</v>
      </c>
      <c r="I6506" t="s">
        <v>40</v>
      </c>
      <c r="J6506">
        <v>0.18358896</v>
      </c>
      <c r="K6506">
        <v>0</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K6507">
        <v>0</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K6508">
        <v>0</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K6509">
        <v>0</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K6510">
        <v>0</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K6511">
        <v>0</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K6512">
        <v>0</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K6513">
        <v>0</v>
      </c>
      <c r="L6513">
        <v>189.453</v>
      </c>
      <c r="M6513">
        <v>4</v>
      </c>
    </row>
    <row r="6514" spans="1:13" x14ac:dyDescent="0.25">
      <c r="A6514" t="s">
        <v>10</v>
      </c>
      <c r="B6514">
        <v>6513</v>
      </c>
      <c r="C6514" t="s">
        <v>335</v>
      </c>
      <c r="D6514" t="s">
        <v>95</v>
      </c>
      <c r="E6514">
        <v>2018</v>
      </c>
      <c r="F6514" t="s">
        <v>138</v>
      </c>
      <c r="G6514" t="s">
        <v>14</v>
      </c>
      <c r="H6514" t="s">
        <v>26</v>
      </c>
      <c r="I6514" t="s">
        <v>40</v>
      </c>
      <c r="J6514">
        <v>0.2004264</v>
      </c>
      <c r="K6514">
        <v>0</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K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K6516">
        <v>0</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K6517">
        <v>0</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K6518">
        <v>0</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K6519">
        <v>0</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K6520">
        <v>0</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K6521">
        <v>0</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K6522">
        <v>0</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K6523">
        <v>0</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K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K6525">
        <v>0</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K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K6527">
        <v>0</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K6528">
        <v>0</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K6529">
        <v>0</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K6530">
        <v>0</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K6531">
        <v>0</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K6532">
        <v>0</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K6533">
        <v>0</v>
      </c>
      <c r="L6533">
        <v>91.0488</v>
      </c>
      <c r="M6533">
        <v>4</v>
      </c>
    </row>
    <row r="6534" spans="1:13" x14ac:dyDescent="0.25">
      <c r="A6534" t="s">
        <v>10</v>
      </c>
      <c r="B6534">
        <v>6533</v>
      </c>
      <c r="C6534" t="s">
        <v>1489</v>
      </c>
      <c r="D6534" t="s">
        <v>24</v>
      </c>
      <c r="E6534">
        <v>2018</v>
      </c>
      <c r="F6534" t="s">
        <v>138</v>
      </c>
      <c r="G6534" t="s">
        <v>14</v>
      </c>
      <c r="H6534" t="s">
        <v>26</v>
      </c>
      <c r="I6534" t="s">
        <v>40</v>
      </c>
      <c r="J6534">
        <v>0.127660257</v>
      </c>
      <c r="K6534">
        <v>0</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K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K6536">
        <v>0</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K6537">
        <v>0</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K6538">
        <v>0</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K6539">
        <v>0</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K6540">
        <v>0</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K6541">
        <v>0</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K6542">
        <v>0</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K6543">
        <v>0</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K6544">
        <v>0</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K6545">
        <v>0</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K6546">
        <v>0</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K6547">
        <v>0</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K6548">
        <v>0</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K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K6550">
        <v>0</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K6551">
        <v>0</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K6552">
        <v>0</v>
      </c>
      <c r="L6552">
        <v>156.3946</v>
      </c>
      <c r="M6552">
        <v>4</v>
      </c>
    </row>
    <row r="6553" spans="1:13" x14ac:dyDescent="0.25">
      <c r="A6553" t="s">
        <v>10</v>
      </c>
      <c r="B6553">
        <v>6552</v>
      </c>
      <c r="C6553" t="s">
        <v>886</v>
      </c>
      <c r="D6553" t="s">
        <v>54</v>
      </c>
      <c r="E6553">
        <v>2018</v>
      </c>
      <c r="F6553" t="s">
        <v>138</v>
      </c>
      <c r="G6553" t="s">
        <v>14</v>
      </c>
      <c r="H6553" t="s">
        <v>26</v>
      </c>
      <c r="I6553" t="s">
        <v>40</v>
      </c>
      <c r="J6553">
        <v>1.4998914E-2</v>
      </c>
      <c r="K6553">
        <v>0</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K6554">
        <v>0</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K6555">
        <v>0</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K6556">
        <v>0</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K6557">
        <v>0</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K6558">
        <v>0</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K6559">
        <v>0</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K6560">
        <v>0</v>
      </c>
      <c r="L6560">
        <v>172.2764</v>
      </c>
      <c r="M6560">
        <v>4</v>
      </c>
    </row>
    <row r="6561" spans="1:13" x14ac:dyDescent="0.25">
      <c r="A6561" t="s">
        <v>10</v>
      </c>
      <c r="B6561">
        <v>6560</v>
      </c>
      <c r="C6561" t="s">
        <v>192</v>
      </c>
      <c r="D6561" t="s">
        <v>153</v>
      </c>
      <c r="E6561">
        <v>2018</v>
      </c>
      <c r="F6561" t="s">
        <v>138</v>
      </c>
      <c r="G6561" t="s">
        <v>14</v>
      </c>
      <c r="H6561" t="s">
        <v>26</v>
      </c>
      <c r="I6561" t="s">
        <v>40</v>
      </c>
      <c r="J6561">
        <v>0</v>
      </c>
      <c r="K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K6562">
        <v>0</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K6563">
        <v>0</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K6564">
        <v>0</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K6565">
        <v>0</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K6566">
        <v>0</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K6567">
        <v>0</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K6568">
        <v>0</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K6569">
        <v>0</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K6570">
        <v>0</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K6571">
        <v>0</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K6572">
        <v>0</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K6573">
        <v>0</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K6574">
        <v>0</v>
      </c>
      <c r="L6574">
        <v>56.961399999999998</v>
      </c>
      <c r="M6574">
        <v>4</v>
      </c>
    </row>
    <row r="6575" spans="1:13" x14ac:dyDescent="0.25">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25">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25">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1610</v>
      </c>
      <c r="B8248">
        <v>8247</v>
      </c>
      <c r="C8248" t="s">
        <v>1247</v>
      </c>
      <c r="D8248" t="s">
        <v>95</v>
      </c>
      <c r="E8248">
        <v>2018</v>
      </c>
      <c r="F8248" t="s">
        <v>45</v>
      </c>
      <c r="G8248" t="s">
        <v>21</v>
      </c>
      <c r="H8248" t="s">
        <v>15</v>
      </c>
      <c r="I8248" t="s">
        <v>46</v>
      </c>
      <c r="J8248">
        <v>5.6656942000000002E-2</v>
      </c>
      <c r="K8248">
        <v>0</v>
      </c>
      <c r="L8248">
        <v>106.26220000000001</v>
      </c>
      <c r="M8248">
        <v>4</v>
      </c>
    </row>
    <row r="8249" spans="1:13" x14ac:dyDescent="0.25">
      <c r="A8249" t="s">
        <v>1610</v>
      </c>
      <c r="B8249">
        <v>8248</v>
      </c>
      <c r="C8249" t="s">
        <v>662</v>
      </c>
      <c r="D8249" t="s">
        <v>57</v>
      </c>
      <c r="E8249">
        <v>2018</v>
      </c>
      <c r="F8249" t="s">
        <v>45</v>
      </c>
      <c r="G8249" t="s">
        <v>21</v>
      </c>
      <c r="H8249" t="s">
        <v>15</v>
      </c>
      <c r="I8249" t="s">
        <v>46</v>
      </c>
      <c r="J8249">
        <v>0</v>
      </c>
      <c r="K8249">
        <v>0</v>
      </c>
      <c r="L8249">
        <v>87.685599999999994</v>
      </c>
      <c r="M8249">
        <v>4</v>
      </c>
    </row>
    <row r="8250" spans="1:13" x14ac:dyDescent="0.25">
      <c r="A8250" t="s">
        <v>1610</v>
      </c>
      <c r="B8250">
        <v>8249</v>
      </c>
      <c r="C8250" t="s">
        <v>1441</v>
      </c>
      <c r="D8250" t="s">
        <v>12</v>
      </c>
      <c r="E8250">
        <v>2018</v>
      </c>
      <c r="F8250" t="s">
        <v>45</v>
      </c>
      <c r="G8250" t="s">
        <v>21</v>
      </c>
      <c r="H8250" t="s">
        <v>15</v>
      </c>
      <c r="I8250" t="s">
        <v>46</v>
      </c>
      <c r="J8250">
        <v>2.7183141000000001E-2</v>
      </c>
      <c r="K8250">
        <v>0</v>
      </c>
      <c r="L8250">
        <v>99.7042</v>
      </c>
      <c r="M8250">
        <v>4</v>
      </c>
    </row>
    <row r="8251" spans="1:13" x14ac:dyDescent="0.25">
      <c r="A8251" t="s">
        <v>1610</v>
      </c>
      <c r="B8251">
        <v>8250</v>
      </c>
      <c r="C8251" t="s">
        <v>718</v>
      </c>
      <c r="D8251" t="s">
        <v>19</v>
      </c>
      <c r="E8251">
        <v>2018</v>
      </c>
      <c r="F8251" t="s">
        <v>45</v>
      </c>
      <c r="G8251" t="s">
        <v>21</v>
      </c>
      <c r="H8251" t="s">
        <v>15</v>
      </c>
      <c r="I8251" t="s">
        <v>46</v>
      </c>
      <c r="J8251">
        <v>0</v>
      </c>
      <c r="K8251">
        <v>0</v>
      </c>
      <c r="L8251">
        <v>64.216800000000006</v>
      </c>
      <c r="M8251">
        <v>4</v>
      </c>
    </row>
    <row r="8252" spans="1:13" x14ac:dyDescent="0.25">
      <c r="A8252" t="s">
        <v>1610</v>
      </c>
      <c r="B8252">
        <v>8251</v>
      </c>
      <c r="C8252" t="s">
        <v>1146</v>
      </c>
      <c r="D8252" t="s">
        <v>19</v>
      </c>
      <c r="E8252">
        <v>2018</v>
      </c>
      <c r="F8252" t="s">
        <v>45</v>
      </c>
      <c r="G8252" t="s">
        <v>21</v>
      </c>
      <c r="H8252" t="s">
        <v>15</v>
      </c>
      <c r="I8252" t="s">
        <v>46</v>
      </c>
      <c r="J8252">
        <v>6.9208684000000006E-2</v>
      </c>
      <c r="K8252">
        <v>0</v>
      </c>
      <c r="L8252">
        <v>264.08839999999998</v>
      </c>
      <c r="M8252">
        <v>4</v>
      </c>
    </row>
    <row r="8253" spans="1:13" x14ac:dyDescent="0.25">
      <c r="A8253" t="s">
        <v>1610</v>
      </c>
      <c r="B8253">
        <v>8252</v>
      </c>
      <c r="C8253" t="s">
        <v>1134</v>
      </c>
      <c r="D8253" t="s">
        <v>42</v>
      </c>
      <c r="E8253">
        <v>2018</v>
      </c>
      <c r="F8253" t="s">
        <v>45</v>
      </c>
      <c r="G8253" t="s">
        <v>21</v>
      </c>
      <c r="H8253" t="s">
        <v>15</v>
      </c>
      <c r="I8253" t="s">
        <v>46</v>
      </c>
      <c r="J8253">
        <v>0.102941345</v>
      </c>
      <c r="K8253">
        <v>0</v>
      </c>
      <c r="L8253">
        <v>171.2448</v>
      </c>
      <c r="M8253">
        <v>4</v>
      </c>
    </row>
    <row r="8254" spans="1:13" x14ac:dyDescent="0.25">
      <c r="A8254" t="s">
        <v>1610</v>
      </c>
      <c r="B8254">
        <v>8253</v>
      </c>
      <c r="C8254" t="s">
        <v>75</v>
      </c>
      <c r="D8254" t="s">
        <v>42</v>
      </c>
      <c r="E8254">
        <v>2018</v>
      </c>
      <c r="F8254" t="s">
        <v>45</v>
      </c>
      <c r="G8254" t="s">
        <v>21</v>
      </c>
      <c r="H8254" t="s">
        <v>15</v>
      </c>
      <c r="I8254" t="s">
        <v>46</v>
      </c>
      <c r="J8254">
        <v>8.0249973000000002E-2</v>
      </c>
      <c r="K8254">
        <v>0</v>
      </c>
      <c r="L8254">
        <v>168.679</v>
      </c>
      <c r="M8254">
        <v>4</v>
      </c>
    </row>
    <row r="8255" spans="1:13" x14ac:dyDescent="0.25">
      <c r="A8255" t="s">
        <v>1610</v>
      </c>
      <c r="B8255">
        <v>8254</v>
      </c>
      <c r="C8255" t="s">
        <v>1070</v>
      </c>
      <c r="D8255" t="s">
        <v>42</v>
      </c>
      <c r="E8255">
        <v>2018</v>
      </c>
      <c r="F8255" t="s">
        <v>45</v>
      </c>
      <c r="G8255" t="s">
        <v>21</v>
      </c>
      <c r="H8255" t="s">
        <v>15</v>
      </c>
      <c r="I8255" t="s">
        <v>46</v>
      </c>
      <c r="J8255">
        <v>6.0888513999999998E-2</v>
      </c>
      <c r="K8255">
        <v>0</v>
      </c>
      <c r="L8255">
        <v>130.1968</v>
      </c>
      <c r="M8255">
        <v>4</v>
      </c>
    </row>
    <row r="8256" spans="1:13" x14ac:dyDescent="0.25">
      <c r="A8256" t="s">
        <v>1610</v>
      </c>
      <c r="B8256">
        <v>8255</v>
      </c>
      <c r="C8256" t="s">
        <v>1526</v>
      </c>
      <c r="D8256" t="s">
        <v>54</v>
      </c>
      <c r="E8256">
        <v>2018</v>
      </c>
      <c r="F8256" t="s">
        <v>45</v>
      </c>
      <c r="G8256" t="s">
        <v>21</v>
      </c>
      <c r="H8256" t="s">
        <v>15</v>
      </c>
      <c r="I8256" t="s">
        <v>46</v>
      </c>
      <c r="J8256">
        <v>3.2024658999999997E-2</v>
      </c>
      <c r="K8256">
        <v>0</v>
      </c>
      <c r="L8256">
        <v>62.7194</v>
      </c>
      <c r="M8256">
        <v>4</v>
      </c>
    </row>
    <row r="8257" spans="1:13" x14ac:dyDescent="0.25">
      <c r="A8257" t="s">
        <v>1610</v>
      </c>
      <c r="B8257">
        <v>8256</v>
      </c>
      <c r="C8257" t="s">
        <v>90</v>
      </c>
      <c r="D8257" t="s">
        <v>64</v>
      </c>
      <c r="E8257">
        <v>2018</v>
      </c>
      <c r="F8257" t="s">
        <v>45</v>
      </c>
      <c r="G8257" t="s">
        <v>21</v>
      </c>
      <c r="H8257" t="s">
        <v>15</v>
      </c>
      <c r="I8257" t="s">
        <v>46</v>
      </c>
      <c r="J8257">
        <v>0.18176926400000001</v>
      </c>
      <c r="K8257">
        <v>0</v>
      </c>
      <c r="L8257">
        <v>240.61959999999999</v>
      </c>
      <c r="M8257">
        <v>4</v>
      </c>
    </row>
    <row r="8258" spans="1:13" x14ac:dyDescent="0.25">
      <c r="A8258" t="s">
        <v>1610</v>
      </c>
      <c r="B8258">
        <v>8257</v>
      </c>
      <c r="C8258" t="s">
        <v>1473</v>
      </c>
      <c r="D8258" t="s">
        <v>48</v>
      </c>
      <c r="E8258">
        <v>2018</v>
      </c>
      <c r="F8258" t="s">
        <v>45</v>
      </c>
      <c r="G8258" t="s">
        <v>21</v>
      </c>
      <c r="H8258" t="s">
        <v>15</v>
      </c>
      <c r="I8258" t="s">
        <v>46</v>
      </c>
      <c r="J8258">
        <v>3.9451624999999997E-2</v>
      </c>
      <c r="K8258">
        <v>0</v>
      </c>
      <c r="L8258">
        <v>39.548000000000002</v>
      </c>
      <c r="M8258">
        <v>4</v>
      </c>
    </row>
    <row r="8259" spans="1:13" x14ac:dyDescent="0.25">
      <c r="A8259" t="s">
        <v>1610</v>
      </c>
      <c r="B8259">
        <v>8258</v>
      </c>
      <c r="C8259" t="s">
        <v>1173</v>
      </c>
      <c r="D8259" t="s">
        <v>48</v>
      </c>
      <c r="E8259">
        <v>2018</v>
      </c>
      <c r="F8259" t="s">
        <v>45</v>
      </c>
      <c r="G8259" t="s">
        <v>21</v>
      </c>
      <c r="H8259" t="s">
        <v>15</v>
      </c>
      <c r="I8259" t="s">
        <v>46</v>
      </c>
      <c r="J8259">
        <v>7.4830794000000006E-2</v>
      </c>
      <c r="K8259">
        <v>0</v>
      </c>
      <c r="L8259">
        <v>125.9046</v>
      </c>
      <c r="M8259">
        <v>4</v>
      </c>
    </row>
    <row r="8260" spans="1:13" x14ac:dyDescent="0.25">
      <c r="A8260" t="s">
        <v>1610</v>
      </c>
      <c r="B8260">
        <v>8259</v>
      </c>
      <c r="C8260" t="s">
        <v>920</v>
      </c>
      <c r="D8260" t="s">
        <v>32</v>
      </c>
      <c r="E8260">
        <v>2018</v>
      </c>
      <c r="F8260" t="s">
        <v>45</v>
      </c>
      <c r="G8260" t="s">
        <v>21</v>
      </c>
      <c r="H8260" t="s">
        <v>15</v>
      </c>
      <c r="I8260" t="s">
        <v>46</v>
      </c>
      <c r="J8260">
        <v>9.4916346999999998E-2</v>
      </c>
      <c r="K8260">
        <v>0</v>
      </c>
      <c r="L8260">
        <v>172.31059999999999</v>
      </c>
      <c r="M8260">
        <v>4</v>
      </c>
    </row>
    <row r="8261" spans="1:13" x14ac:dyDescent="0.25">
      <c r="A8261" t="s">
        <v>1610</v>
      </c>
      <c r="B8261">
        <v>8260</v>
      </c>
      <c r="C8261" t="s">
        <v>1292</v>
      </c>
      <c r="D8261" t="s">
        <v>32</v>
      </c>
      <c r="E8261">
        <v>2018</v>
      </c>
      <c r="F8261" t="s">
        <v>45</v>
      </c>
      <c r="G8261" t="s">
        <v>21</v>
      </c>
      <c r="H8261" t="s">
        <v>15</v>
      </c>
      <c r="I8261" t="s">
        <v>46</v>
      </c>
      <c r="J8261">
        <v>9.5931002000000001E-2</v>
      </c>
      <c r="K8261">
        <v>0</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K8262">
        <v>0</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K8263">
        <v>0</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K8264">
        <v>0</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K8265">
        <v>0</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K8266">
        <v>0</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K8267">
        <v>0</v>
      </c>
      <c r="L8267">
        <v>78.232799999999997</v>
      </c>
      <c r="M8267">
        <v>4</v>
      </c>
    </row>
    <row r="8268" spans="1:13" x14ac:dyDescent="0.25">
      <c r="A8268" t="s">
        <v>17</v>
      </c>
      <c r="B8268">
        <v>8267</v>
      </c>
      <c r="C8268" t="s">
        <v>986</v>
      </c>
      <c r="D8268" t="s">
        <v>95</v>
      </c>
      <c r="E8268">
        <v>2018</v>
      </c>
      <c r="F8268" t="s">
        <v>45</v>
      </c>
      <c r="G8268" t="s">
        <v>21</v>
      </c>
      <c r="H8268" t="s">
        <v>15</v>
      </c>
      <c r="I8268" t="s">
        <v>46</v>
      </c>
      <c r="J8268">
        <v>0</v>
      </c>
      <c r="K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K8269">
        <v>0</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K8270">
        <v>0</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K8271">
        <v>0</v>
      </c>
      <c r="L8271">
        <v>228.5668</v>
      </c>
      <c r="M8271">
        <v>4</v>
      </c>
    </row>
    <row r="8272" spans="1:13" x14ac:dyDescent="0.25">
      <c r="A8272" t="s">
        <v>17</v>
      </c>
      <c r="B8272">
        <v>8271</v>
      </c>
      <c r="C8272" t="s">
        <v>1364</v>
      </c>
      <c r="D8272" t="s">
        <v>57</v>
      </c>
      <c r="E8272">
        <v>2018</v>
      </c>
      <c r="F8272" t="s">
        <v>45</v>
      </c>
      <c r="G8272" t="s">
        <v>21</v>
      </c>
      <c r="H8272" t="s">
        <v>15</v>
      </c>
      <c r="I8272" t="s">
        <v>46</v>
      </c>
      <c r="J8272">
        <v>4.8545853E-2</v>
      </c>
      <c r="K8272">
        <v>0</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K8273">
        <v>0</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K8274">
        <v>0</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K8275">
        <v>0</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K8276">
        <v>0</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K8277">
        <v>0</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K8278">
        <v>0</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K8279">
        <v>0</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K8280">
        <v>0</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K8281">
        <v>0</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K8282">
        <v>0</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K8283">
        <v>0</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K8284">
        <v>0</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K8285">
        <v>0</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K8286">
        <v>0</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K8287">
        <v>0</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K8288">
        <v>0</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K8289">
        <v>0</v>
      </c>
      <c r="L8289">
        <v>177.6002</v>
      </c>
      <c r="M8289">
        <v>4</v>
      </c>
    </row>
    <row r="8290" spans="1:13" x14ac:dyDescent="0.25">
      <c r="A8290" t="s">
        <v>17</v>
      </c>
      <c r="B8290">
        <v>8289</v>
      </c>
      <c r="C8290" t="s">
        <v>535</v>
      </c>
      <c r="D8290" t="s">
        <v>67</v>
      </c>
      <c r="E8290">
        <v>2018</v>
      </c>
      <c r="F8290" t="s">
        <v>45</v>
      </c>
      <c r="G8290" t="s">
        <v>21</v>
      </c>
      <c r="H8290" t="s">
        <v>15</v>
      </c>
      <c r="I8290" t="s">
        <v>46</v>
      </c>
      <c r="J8290">
        <v>0.101281</v>
      </c>
      <c r="K8290">
        <v>0</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K8291">
        <v>0</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K8292">
        <v>0</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K8293">
        <v>0</v>
      </c>
      <c r="L8293">
        <v>179.1344</v>
      </c>
      <c r="M8293">
        <v>4</v>
      </c>
    </row>
    <row r="8294" spans="1:13" x14ac:dyDescent="0.25">
      <c r="A8294" t="s">
        <v>17</v>
      </c>
      <c r="B8294">
        <v>8293</v>
      </c>
      <c r="C8294" t="s">
        <v>777</v>
      </c>
      <c r="D8294" t="s">
        <v>67</v>
      </c>
      <c r="E8294">
        <v>2018</v>
      </c>
      <c r="F8294" t="s">
        <v>45</v>
      </c>
      <c r="G8294" t="s">
        <v>21</v>
      </c>
      <c r="H8294" t="s">
        <v>15</v>
      </c>
      <c r="I8294" t="s">
        <v>46</v>
      </c>
      <c r="J8294">
        <v>2.0769677E-2</v>
      </c>
      <c r="K8294">
        <v>0</v>
      </c>
      <c r="L8294">
        <v>117.5782</v>
      </c>
      <c r="M8294">
        <v>4</v>
      </c>
    </row>
    <row r="8295" spans="1:13" x14ac:dyDescent="0.25">
      <c r="A8295" t="s">
        <v>17</v>
      </c>
      <c r="B8295">
        <v>8294</v>
      </c>
      <c r="C8295" t="s">
        <v>1018</v>
      </c>
      <c r="D8295" t="s">
        <v>24</v>
      </c>
      <c r="E8295">
        <v>2018</v>
      </c>
      <c r="F8295" t="s">
        <v>45</v>
      </c>
      <c r="G8295" t="s">
        <v>21</v>
      </c>
      <c r="H8295" t="s">
        <v>15</v>
      </c>
      <c r="I8295" t="s">
        <v>46</v>
      </c>
      <c r="J8295">
        <v>5.4720642E-2</v>
      </c>
      <c r="K8295">
        <v>0</v>
      </c>
      <c r="L8295">
        <v>107.8254</v>
      </c>
      <c r="M8295">
        <v>4</v>
      </c>
    </row>
    <row r="8296" spans="1:13" x14ac:dyDescent="0.25">
      <c r="A8296" t="s">
        <v>17</v>
      </c>
      <c r="B8296">
        <v>8295</v>
      </c>
      <c r="C8296" t="s">
        <v>728</v>
      </c>
      <c r="D8296" t="s">
        <v>24</v>
      </c>
      <c r="E8296">
        <v>2018</v>
      </c>
      <c r="F8296" t="s">
        <v>45</v>
      </c>
      <c r="G8296" t="s">
        <v>21</v>
      </c>
      <c r="H8296" t="s">
        <v>15</v>
      </c>
      <c r="I8296" t="s">
        <v>46</v>
      </c>
      <c r="J8296">
        <v>0.116347087</v>
      </c>
      <c r="K8296">
        <v>0</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K8297">
        <v>0</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K8298">
        <v>0</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K8299">
        <v>0</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K8300">
        <v>0</v>
      </c>
      <c r="L8300">
        <v>261.291</v>
      </c>
      <c r="M8300">
        <v>4</v>
      </c>
    </row>
    <row r="8301" spans="1:13" x14ac:dyDescent="0.25">
      <c r="A8301" t="s">
        <v>17</v>
      </c>
      <c r="B8301">
        <v>8300</v>
      </c>
      <c r="C8301" t="s">
        <v>1575</v>
      </c>
      <c r="D8301" t="s">
        <v>24</v>
      </c>
      <c r="E8301">
        <v>2018</v>
      </c>
      <c r="F8301" t="s">
        <v>45</v>
      </c>
      <c r="G8301" t="s">
        <v>21</v>
      </c>
      <c r="H8301" t="s">
        <v>15</v>
      </c>
      <c r="I8301" t="s">
        <v>46</v>
      </c>
      <c r="J8301">
        <v>0.130544568</v>
      </c>
      <c r="K8301">
        <v>0</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K8302">
        <v>0</v>
      </c>
      <c r="L8302">
        <v>31.9558</v>
      </c>
      <c r="M8302">
        <v>4</v>
      </c>
    </row>
    <row r="8303" spans="1:13" x14ac:dyDescent="0.25">
      <c r="A8303" t="s">
        <v>17</v>
      </c>
      <c r="B8303">
        <v>8302</v>
      </c>
      <c r="C8303" t="s">
        <v>229</v>
      </c>
      <c r="D8303" t="s">
        <v>24</v>
      </c>
      <c r="E8303">
        <v>2018</v>
      </c>
      <c r="F8303" t="s">
        <v>45</v>
      </c>
      <c r="G8303" t="s">
        <v>21</v>
      </c>
      <c r="H8303" t="s">
        <v>15</v>
      </c>
      <c r="I8303" t="s">
        <v>46</v>
      </c>
      <c r="J8303">
        <v>0</v>
      </c>
      <c r="K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K8304">
        <v>0</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K8305">
        <v>0</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K8306">
        <v>0</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K8307">
        <v>0</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K8308">
        <v>0</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K8309">
        <v>0</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K8310">
        <v>0</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K8311">
        <v>0</v>
      </c>
      <c r="L8311">
        <v>248.8434</v>
      </c>
      <c r="M8311">
        <v>4</v>
      </c>
    </row>
    <row r="8312" spans="1:13" x14ac:dyDescent="0.25">
      <c r="A8312" t="s">
        <v>17</v>
      </c>
      <c r="B8312">
        <v>8311</v>
      </c>
      <c r="C8312" t="s">
        <v>1278</v>
      </c>
      <c r="D8312" t="s">
        <v>24</v>
      </c>
      <c r="E8312">
        <v>2018</v>
      </c>
      <c r="F8312" t="s">
        <v>45</v>
      </c>
      <c r="G8312" t="s">
        <v>21</v>
      </c>
      <c r="H8312" t="s">
        <v>15</v>
      </c>
      <c r="I8312" t="s">
        <v>46</v>
      </c>
      <c r="J8312">
        <v>1.3951504E-2</v>
      </c>
      <c r="K8312">
        <v>0</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K8313">
        <v>0</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K8314">
        <v>0</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K8315">
        <v>0</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K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K8317">
        <v>0</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K8318">
        <v>0</v>
      </c>
      <c r="L8318">
        <v>182.0976</v>
      </c>
      <c r="M8318">
        <v>4</v>
      </c>
    </row>
    <row r="8319" spans="1:13" x14ac:dyDescent="0.25">
      <c r="A8319" t="s">
        <v>17</v>
      </c>
      <c r="B8319">
        <v>8318</v>
      </c>
      <c r="C8319" t="s">
        <v>1447</v>
      </c>
      <c r="D8319" t="s">
        <v>12</v>
      </c>
      <c r="E8319">
        <v>2018</v>
      </c>
      <c r="F8319" t="s">
        <v>45</v>
      </c>
      <c r="G8319" t="s">
        <v>21</v>
      </c>
      <c r="H8319" t="s">
        <v>15</v>
      </c>
      <c r="I8319" t="s">
        <v>46</v>
      </c>
      <c r="J8319">
        <v>0</v>
      </c>
      <c r="K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K8320">
        <v>0</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K8321">
        <v>0</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K8322">
        <v>0</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K8323">
        <v>0</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K8324">
        <v>0</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K8325">
        <v>0</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K8326">
        <v>0</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K8327">
        <v>0</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K8328">
        <v>0</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K8329">
        <v>0</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K8330">
        <v>0</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K8331">
        <v>0</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K8332">
        <v>0</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K8333">
        <v>0</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K8334">
        <v>0</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K8335">
        <v>0</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K8336">
        <v>0</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K8337">
        <v>0</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K8338">
        <v>0</v>
      </c>
      <c r="L8338">
        <v>37.750599999999999</v>
      </c>
      <c r="M8338">
        <v>4</v>
      </c>
    </row>
    <row r="8339" spans="1:13" x14ac:dyDescent="0.25">
      <c r="A8339" t="s">
        <v>17</v>
      </c>
      <c r="B8339">
        <v>8338</v>
      </c>
      <c r="C8339" t="s">
        <v>497</v>
      </c>
      <c r="D8339" t="s">
        <v>19</v>
      </c>
      <c r="E8339">
        <v>2018</v>
      </c>
      <c r="F8339" t="s">
        <v>45</v>
      </c>
      <c r="G8339" t="s">
        <v>21</v>
      </c>
      <c r="H8339" t="s">
        <v>15</v>
      </c>
      <c r="I8339" t="s">
        <v>46</v>
      </c>
      <c r="J8339">
        <v>0</v>
      </c>
      <c r="K8339">
        <v>0</v>
      </c>
      <c r="L8339">
        <v>37.3506</v>
      </c>
      <c r="M8339">
        <v>4</v>
      </c>
    </row>
    <row r="8340" spans="1:13" x14ac:dyDescent="0.25">
      <c r="A8340" t="s">
        <v>17</v>
      </c>
      <c r="B8340">
        <v>8339</v>
      </c>
      <c r="C8340" t="s">
        <v>992</v>
      </c>
      <c r="D8340" t="s">
        <v>19</v>
      </c>
      <c r="E8340">
        <v>2018</v>
      </c>
      <c r="F8340" t="s">
        <v>45</v>
      </c>
      <c r="G8340" t="s">
        <v>21</v>
      </c>
      <c r="H8340" t="s">
        <v>15</v>
      </c>
      <c r="I8340" t="s">
        <v>46</v>
      </c>
      <c r="J8340">
        <v>0</v>
      </c>
      <c r="K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K8341">
        <v>0</v>
      </c>
      <c r="L8341">
        <v>42.177</v>
      </c>
      <c r="M8341">
        <v>4</v>
      </c>
    </row>
    <row r="8342" spans="1:13" x14ac:dyDescent="0.25">
      <c r="A8342" t="s">
        <v>17</v>
      </c>
      <c r="B8342">
        <v>8341</v>
      </c>
      <c r="C8342" t="s">
        <v>1068</v>
      </c>
      <c r="D8342" t="s">
        <v>19</v>
      </c>
      <c r="E8342">
        <v>2018</v>
      </c>
      <c r="F8342" t="s">
        <v>45</v>
      </c>
      <c r="G8342" t="s">
        <v>21</v>
      </c>
      <c r="H8342" t="s">
        <v>15</v>
      </c>
      <c r="I8342" t="s">
        <v>46</v>
      </c>
      <c r="J8342">
        <v>1.7556795E-2</v>
      </c>
      <c r="K8342">
        <v>0</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K8343">
        <v>0</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K8344">
        <v>0</v>
      </c>
      <c r="L8344">
        <v>235.69059999999999</v>
      </c>
      <c r="M8344">
        <v>4</v>
      </c>
    </row>
    <row r="8345" spans="1:13" x14ac:dyDescent="0.25">
      <c r="A8345" t="s">
        <v>17</v>
      </c>
      <c r="B8345">
        <v>8344</v>
      </c>
      <c r="C8345" t="s">
        <v>238</v>
      </c>
      <c r="D8345" t="s">
        <v>19</v>
      </c>
      <c r="E8345">
        <v>2018</v>
      </c>
      <c r="F8345" t="s">
        <v>45</v>
      </c>
      <c r="G8345" t="s">
        <v>21</v>
      </c>
      <c r="H8345" t="s">
        <v>15</v>
      </c>
      <c r="I8345" t="s">
        <v>46</v>
      </c>
      <c r="J8345">
        <v>0</v>
      </c>
      <c r="K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K8346">
        <v>0</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K8347">
        <v>0</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K8348">
        <v>0</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K8349">
        <v>0</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K8350">
        <v>0</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K8351">
        <v>0</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K8352">
        <v>0</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K8353">
        <v>0</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K8354">
        <v>0</v>
      </c>
      <c r="L8354">
        <v>117.4492</v>
      </c>
      <c r="M8354">
        <v>4</v>
      </c>
    </row>
    <row r="8355" spans="1:13" x14ac:dyDescent="0.25">
      <c r="A8355" t="s">
        <v>17</v>
      </c>
      <c r="B8355">
        <v>8354</v>
      </c>
      <c r="C8355" t="s">
        <v>448</v>
      </c>
      <c r="D8355" t="s">
        <v>42</v>
      </c>
      <c r="E8355">
        <v>2018</v>
      </c>
      <c r="F8355" t="s">
        <v>45</v>
      </c>
      <c r="G8355" t="s">
        <v>21</v>
      </c>
      <c r="H8355" t="s">
        <v>15</v>
      </c>
      <c r="I8355" t="s">
        <v>46</v>
      </c>
      <c r="J8355">
        <v>0.118099673</v>
      </c>
      <c r="K8355">
        <v>0</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K8356">
        <v>0</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K8357">
        <v>0</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K8358">
        <v>0</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K8359">
        <v>0</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K8360">
        <v>0</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K8361">
        <v>0</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K8362">
        <v>0</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K8363">
        <v>0</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K8364">
        <v>0</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K8365">
        <v>0</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K8366">
        <v>0</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K8367">
        <v>0</v>
      </c>
      <c r="L8367">
        <v>107.3912</v>
      </c>
      <c r="M8367">
        <v>4</v>
      </c>
    </row>
    <row r="8368" spans="1:13" x14ac:dyDescent="0.25">
      <c r="A8368" t="s">
        <v>17</v>
      </c>
      <c r="B8368">
        <v>8367</v>
      </c>
      <c r="C8368" t="s">
        <v>1600</v>
      </c>
      <c r="D8368" t="s">
        <v>42</v>
      </c>
      <c r="E8368">
        <v>2018</v>
      </c>
      <c r="F8368" t="s">
        <v>45</v>
      </c>
      <c r="G8368" t="s">
        <v>21</v>
      </c>
      <c r="H8368" t="s">
        <v>15</v>
      </c>
      <c r="I8368" t="s">
        <v>46</v>
      </c>
      <c r="J8368">
        <v>1.2592289E-2</v>
      </c>
      <c r="K8368">
        <v>0</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K8369">
        <v>0</v>
      </c>
      <c r="L8369">
        <v>174.1396</v>
      </c>
      <c r="M8369">
        <v>4</v>
      </c>
    </row>
    <row r="8370" spans="1:13" x14ac:dyDescent="0.25">
      <c r="A8370" t="s">
        <v>17</v>
      </c>
      <c r="B8370">
        <v>8369</v>
      </c>
      <c r="C8370" t="s">
        <v>1226</v>
      </c>
      <c r="D8370" t="s">
        <v>42</v>
      </c>
      <c r="E8370">
        <v>2018</v>
      </c>
      <c r="F8370" t="s">
        <v>45</v>
      </c>
      <c r="G8370" t="s">
        <v>21</v>
      </c>
      <c r="H8370" t="s">
        <v>15</v>
      </c>
      <c r="I8370" t="s">
        <v>46</v>
      </c>
      <c r="J8370">
        <v>1.3056494E-2</v>
      </c>
      <c r="K8370">
        <v>0</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K8371">
        <v>0</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K8372">
        <v>0</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K8373">
        <v>0</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K8374">
        <v>0</v>
      </c>
      <c r="L8374">
        <v>253.60140000000001</v>
      </c>
      <c r="M8374">
        <v>4</v>
      </c>
    </row>
    <row r="8375" spans="1:13" x14ac:dyDescent="0.25">
      <c r="A8375" t="s">
        <v>17</v>
      </c>
      <c r="B8375">
        <v>8374</v>
      </c>
      <c r="C8375" t="s">
        <v>742</v>
      </c>
      <c r="D8375" t="s">
        <v>42</v>
      </c>
      <c r="E8375">
        <v>2018</v>
      </c>
      <c r="F8375" t="s">
        <v>45</v>
      </c>
      <c r="G8375" t="s">
        <v>21</v>
      </c>
      <c r="H8375" t="s">
        <v>15</v>
      </c>
      <c r="I8375" t="s">
        <v>46</v>
      </c>
      <c r="J8375">
        <v>0</v>
      </c>
      <c r="K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K8376">
        <v>0</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K8377">
        <v>0</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K8378">
        <v>0</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K8379">
        <v>0</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K8380">
        <v>0</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K8381">
        <v>0</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K8382">
        <v>0</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K8383">
        <v>0</v>
      </c>
      <c r="L8383">
        <v>115.515</v>
      </c>
      <c r="M8383">
        <v>4</v>
      </c>
    </row>
    <row r="8384" spans="1:13" x14ac:dyDescent="0.25">
      <c r="A8384" t="s">
        <v>17</v>
      </c>
      <c r="B8384">
        <v>8383</v>
      </c>
      <c r="C8384" t="s">
        <v>1117</v>
      </c>
      <c r="D8384" t="s">
        <v>54</v>
      </c>
      <c r="E8384">
        <v>2018</v>
      </c>
      <c r="F8384" t="s">
        <v>45</v>
      </c>
      <c r="G8384" t="s">
        <v>21</v>
      </c>
      <c r="H8384" t="s">
        <v>15</v>
      </c>
      <c r="I8384" t="s">
        <v>46</v>
      </c>
      <c r="J8384">
        <v>3.9370913E-2</v>
      </c>
      <c r="K8384">
        <v>0</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K8385">
        <v>0</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K8386">
        <v>0</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K8387">
        <v>0</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K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K8389">
        <v>0</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K8390">
        <v>0</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K8391">
        <v>0</v>
      </c>
      <c r="L8391">
        <v>116.7834</v>
      </c>
      <c r="M8391">
        <v>4</v>
      </c>
    </row>
    <row r="8392" spans="1:13" x14ac:dyDescent="0.25">
      <c r="A8392" t="s">
        <v>17</v>
      </c>
      <c r="B8392">
        <v>8391</v>
      </c>
      <c r="C8392" t="s">
        <v>1042</v>
      </c>
      <c r="D8392" t="s">
        <v>48</v>
      </c>
      <c r="E8392">
        <v>2018</v>
      </c>
      <c r="F8392" t="s">
        <v>45</v>
      </c>
      <c r="G8392" t="s">
        <v>21</v>
      </c>
      <c r="H8392" t="s">
        <v>15</v>
      </c>
      <c r="I8392" t="s">
        <v>46</v>
      </c>
      <c r="J8392">
        <v>0</v>
      </c>
      <c r="K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K8393">
        <v>0</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K8394">
        <v>0</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K8395">
        <v>0</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K8396">
        <v>0</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K8397">
        <v>0</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K8398">
        <v>0</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K8399">
        <v>0</v>
      </c>
      <c r="L8399">
        <v>92.5488</v>
      </c>
      <c r="M8399">
        <v>4</v>
      </c>
    </row>
    <row r="8400" spans="1:13" x14ac:dyDescent="0.25">
      <c r="A8400" t="s">
        <v>17</v>
      </c>
      <c r="B8400">
        <v>8399</v>
      </c>
      <c r="C8400" t="s">
        <v>220</v>
      </c>
      <c r="D8400" t="s">
        <v>48</v>
      </c>
      <c r="E8400">
        <v>2018</v>
      </c>
      <c r="F8400" t="s">
        <v>45</v>
      </c>
      <c r="G8400" t="s">
        <v>21</v>
      </c>
      <c r="H8400" t="s">
        <v>15</v>
      </c>
      <c r="I8400" t="s">
        <v>46</v>
      </c>
      <c r="J8400">
        <v>4.0747616E-2</v>
      </c>
      <c r="K8400">
        <v>0</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K8401">
        <v>0</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K8402">
        <v>0</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K8403">
        <v>0</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K8404">
        <v>0</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K8405">
        <v>0</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K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K8407">
        <v>0</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K8408">
        <v>0</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K8409">
        <v>0</v>
      </c>
      <c r="L8409">
        <v>147.476</v>
      </c>
      <c r="M8409">
        <v>4</v>
      </c>
    </row>
    <row r="8410" spans="1:13" x14ac:dyDescent="0.25">
      <c r="A8410" t="s">
        <v>17</v>
      </c>
      <c r="B8410">
        <v>8409</v>
      </c>
      <c r="C8410" t="s">
        <v>656</v>
      </c>
      <c r="D8410" t="s">
        <v>48</v>
      </c>
      <c r="E8410">
        <v>2018</v>
      </c>
      <c r="F8410" t="s">
        <v>45</v>
      </c>
      <c r="G8410" t="s">
        <v>21</v>
      </c>
      <c r="H8410" t="s">
        <v>15</v>
      </c>
      <c r="I8410" t="s">
        <v>46</v>
      </c>
      <c r="J8410">
        <v>0.102941345</v>
      </c>
      <c r="K8410">
        <v>0</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K8411">
        <v>0</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K8412">
        <v>0</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K8413">
        <v>0</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K8414">
        <v>0</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K8415">
        <v>0</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K8416">
        <v>0</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K8417">
        <v>0</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K8418">
        <v>0</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K8419">
        <v>0</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K8420">
        <v>0</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K8421">
        <v>0</v>
      </c>
      <c r="L8421">
        <v>242.8486</v>
      </c>
      <c r="M8421">
        <v>4</v>
      </c>
    </row>
    <row r="8422" spans="1:13" x14ac:dyDescent="0.25">
      <c r="A8422" t="s">
        <v>17</v>
      </c>
      <c r="B8422">
        <v>8421</v>
      </c>
      <c r="C8422" t="s">
        <v>1183</v>
      </c>
      <c r="D8422" t="s">
        <v>32</v>
      </c>
      <c r="E8422">
        <v>2018</v>
      </c>
      <c r="F8422" t="s">
        <v>45</v>
      </c>
      <c r="G8422" t="s">
        <v>21</v>
      </c>
      <c r="H8422" t="s">
        <v>15</v>
      </c>
      <c r="I8422" t="s">
        <v>46</v>
      </c>
      <c r="J8422">
        <v>0.114475357</v>
      </c>
      <c r="K8422">
        <v>0</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K8423">
        <v>0</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K8424">
        <v>0</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K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K8426">
        <v>0</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K8427">
        <v>0</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K8428">
        <v>0</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K8429">
        <v>0</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K8430">
        <v>0</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K8431">
        <v>0</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K8432">
        <v>0</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K8433">
        <v>0</v>
      </c>
      <c r="L8433">
        <v>164.95</v>
      </c>
      <c r="M8433">
        <v>4</v>
      </c>
    </row>
    <row r="8434" spans="1:13" x14ac:dyDescent="0.25">
      <c r="A8434" t="s">
        <v>10</v>
      </c>
      <c r="B8434">
        <v>8433</v>
      </c>
      <c r="C8434" t="s">
        <v>1046</v>
      </c>
      <c r="D8434" t="s">
        <v>57</v>
      </c>
      <c r="E8434">
        <v>2018</v>
      </c>
      <c r="F8434" t="s">
        <v>45</v>
      </c>
      <c r="G8434" t="s">
        <v>21</v>
      </c>
      <c r="H8434" t="s">
        <v>15</v>
      </c>
      <c r="I8434" t="s">
        <v>46</v>
      </c>
      <c r="J8434">
        <v>0</v>
      </c>
      <c r="K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K8435">
        <v>0</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K8436">
        <v>0</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K8437">
        <v>0</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K8438">
        <v>0</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K8439">
        <v>0</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K8440">
        <v>0</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K8441">
        <v>0</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K8442">
        <v>0</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K8443">
        <v>0</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K8444">
        <v>0</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K8445">
        <v>0</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K8446">
        <v>0</v>
      </c>
      <c r="L8446">
        <v>109.5228</v>
      </c>
      <c r="M8446">
        <v>4</v>
      </c>
    </row>
    <row r="8447" spans="1:13" x14ac:dyDescent="0.25">
      <c r="A8447" t="s">
        <v>10</v>
      </c>
      <c r="B8447">
        <v>8446</v>
      </c>
      <c r="C8447" t="s">
        <v>883</v>
      </c>
      <c r="D8447" t="s">
        <v>28</v>
      </c>
      <c r="E8447">
        <v>2018</v>
      </c>
      <c r="F8447" t="s">
        <v>45</v>
      </c>
      <c r="G8447" t="s">
        <v>21</v>
      </c>
      <c r="H8447" t="s">
        <v>15</v>
      </c>
      <c r="I8447" t="s">
        <v>46</v>
      </c>
      <c r="J8447">
        <v>0.10400212</v>
      </c>
      <c r="K8447">
        <v>0</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K8448">
        <v>0</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K8449">
        <v>0</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K8450">
        <v>0</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K8451">
        <v>0</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K8452">
        <v>0</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K8453">
        <v>0</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K8454">
        <v>0</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K8455">
        <v>0</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K8456">
        <v>0</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K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K8458">
        <v>0</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K8459">
        <v>0</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K8460">
        <v>0</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K8461">
        <v>0</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K8462">
        <v>0</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K8463">
        <v>0</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K8464">
        <v>0</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K8465">
        <v>0</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K8466">
        <v>0</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K8467">
        <v>0</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K8468">
        <v>0</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K8469">
        <v>0</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K8470">
        <v>0</v>
      </c>
      <c r="L8470">
        <v>190.4846</v>
      </c>
      <c r="M8470">
        <v>4</v>
      </c>
    </row>
    <row r="8471" spans="1:13" x14ac:dyDescent="0.25">
      <c r="A8471" t="s">
        <v>10</v>
      </c>
      <c r="B8471">
        <v>8470</v>
      </c>
      <c r="C8471" t="s">
        <v>1487</v>
      </c>
      <c r="D8471" t="s">
        <v>24</v>
      </c>
      <c r="E8471">
        <v>2018</v>
      </c>
      <c r="F8471" t="s">
        <v>45</v>
      </c>
      <c r="G8471" t="s">
        <v>21</v>
      </c>
      <c r="H8471" t="s">
        <v>15</v>
      </c>
      <c r="I8471" t="s">
        <v>46</v>
      </c>
      <c r="J8471">
        <v>0</v>
      </c>
      <c r="K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K8472">
        <v>0</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K8473">
        <v>0</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K8474">
        <v>0</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K8475">
        <v>0</v>
      </c>
      <c r="L8475">
        <v>193.5478</v>
      </c>
      <c r="M8475">
        <v>4</v>
      </c>
    </row>
    <row r="8476" spans="1:13" x14ac:dyDescent="0.25">
      <c r="A8476" t="s">
        <v>10</v>
      </c>
      <c r="B8476">
        <v>8475</v>
      </c>
      <c r="C8476" t="s">
        <v>1157</v>
      </c>
      <c r="D8476" t="s">
        <v>12</v>
      </c>
      <c r="E8476">
        <v>2018</v>
      </c>
      <c r="F8476" t="s">
        <v>45</v>
      </c>
      <c r="G8476" t="s">
        <v>21</v>
      </c>
      <c r="H8476" t="s">
        <v>15</v>
      </c>
      <c r="I8476" t="s">
        <v>46</v>
      </c>
      <c r="J8476">
        <v>3.0794774E-2</v>
      </c>
      <c r="K8476">
        <v>0</v>
      </c>
      <c r="L8476">
        <v>122.9072</v>
      </c>
      <c r="M8476">
        <v>4</v>
      </c>
    </row>
    <row r="8477" spans="1:13" x14ac:dyDescent="0.25">
      <c r="A8477" t="s">
        <v>10</v>
      </c>
      <c r="B8477">
        <v>8476</v>
      </c>
      <c r="C8477" t="s">
        <v>868</v>
      </c>
      <c r="D8477" t="s">
        <v>12</v>
      </c>
      <c r="E8477">
        <v>2018</v>
      </c>
      <c r="F8477" t="s">
        <v>45</v>
      </c>
      <c r="G8477" t="s">
        <v>21</v>
      </c>
      <c r="H8477" t="s">
        <v>15</v>
      </c>
      <c r="I8477" t="s">
        <v>46</v>
      </c>
      <c r="J8477">
        <v>5.8542509E-2</v>
      </c>
      <c r="K8477">
        <v>0</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K8478">
        <v>0</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K8479">
        <v>0</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K8480">
        <v>0</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K8481">
        <v>0</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K8482">
        <v>0</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K8483">
        <v>0</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K8484">
        <v>0</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K8485">
        <v>0</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K8486">
        <v>0</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K8487">
        <v>0</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K8488">
        <v>0</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K8489">
        <v>0</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K8490">
        <v>0</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K8491">
        <v>0</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K8492">
        <v>0</v>
      </c>
      <c r="L8492">
        <v>151.8366</v>
      </c>
      <c r="M8492">
        <v>4</v>
      </c>
    </row>
    <row r="8493" spans="1:13" x14ac:dyDescent="0.25">
      <c r="A8493" t="s">
        <v>10</v>
      </c>
      <c r="B8493">
        <v>8492</v>
      </c>
      <c r="C8493" t="s">
        <v>1013</v>
      </c>
      <c r="D8493" t="s">
        <v>54</v>
      </c>
      <c r="E8493">
        <v>2018</v>
      </c>
      <c r="F8493" t="s">
        <v>45</v>
      </c>
      <c r="G8493" t="s">
        <v>21</v>
      </c>
      <c r="H8493" t="s">
        <v>15</v>
      </c>
      <c r="I8493" t="s">
        <v>46</v>
      </c>
      <c r="J8493">
        <v>0.157701958</v>
      </c>
      <c r="K8493">
        <v>0</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K8494">
        <v>0</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K8495">
        <v>0</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K8496">
        <v>0</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K8497">
        <v>0</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K8498">
        <v>0</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K8499">
        <v>0</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K8500">
        <v>0</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K8501">
        <v>0</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K8502">
        <v>0</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K8503">
        <v>0</v>
      </c>
      <c r="L8503">
        <v>170.7132</v>
      </c>
      <c r="M8503">
        <v>4</v>
      </c>
    </row>
    <row r="8504" spans="1:13" x14ac:dyDescent="0.25">
      <c r="A8504" t="s">
        <v>10</v>
      </c>
      <c r="B8504">
        <v>8503</v>
      </c>
      <c r="C8504" t="s">
        <v>1098</v>
      </c>
      <c r="D8504" t="s">
        <v>48</v>
      </c>
      <c r="E8504">
        <v>2018</v>
      </c>
      <c r="F8504" t="s">
        <v>45</v>
      </c>
      <c r="G8504" t="s">
        <v>21</v>
      </c>
      <c r="H8504" t="s">
        <v>15</v>
      </c>
      <c r="I8504" t="s">
        <v>46</v>
      </c>
      <c r="J8504">
        <v>2.5616191E-2</v>
      </c>
      <c r="K8504">
        <v>0</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K8505">
        <v>0</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K8506">
        <v>0</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K8507">
        <v>0</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K8508">
        <v>0</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K8509">
        <v>0</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K8510">
        <v>0</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K8511">
        <v>0</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K8512">
        <v>0</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K8513">
        <v>0</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K8514">
        <v>0</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K8515">
        <v>0</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K8516">
        <v>0</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K8517">
        <v>0</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K8518">
        <v>0</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K8519">
        <v>0</v>
      </c>
      <c r="L8519">
        <v>222.37719999999999</v>
      </c>
      <c r="M8519">
        <v>4</v>
      </c>
    </row>
    <row r="8520" spans="1:13" x14ac:dyDescent="0.25">
      <c r="A8520" t="s">
        <v>35</v>
      </c>
      <c r="B8520">
        <v>8519</v>
      </c>
      <c r="C8520" t="s">
        <v>237</v>
      </c>
      <c r="D8520" t="s">
        <v>19</v>
      </c>
      <c r="E8520">
        <v>2018</v>
      </c>
      <c r="F8520" t="s">
        <v>45</v>
      </c>
      <c r="G8520" t="s">
        <v>21</v>
      </c>
      <c r="H8520" t="s">
        <v>15</v>
      </c>
      <c r="I8520" t="s">
        <v>46</v>
      </c>
      <c r="J8520">
        <v>0</v>
      </c>
      <c r="K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K8521">
        <v>0</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K8522">
        <v>0</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K8523">
        <v>0</v>
      </c>
      <c r="L8523">
        <v>97.875200000000007</v>
      </c>
      <c r="M8523">
        <v>4</v>
      </c>
    </row>
    <row r="8524" spans="1:13" x14ac:dyDescent="0.25">
      <c r="A8524" t="s">
        <v>10</v>
      </c>
      <c r="B8524">
        <v>8523</v>
      </c>
      <c r="C8524" t="s">
        <v>559</v>
      </c>
      <c r="D8524" t="s">
        <v>48</v>
      </c>
      <c r="E8524">
        <v>2018</v>
      </c>
      <c r="F8524" t="s">
        <v>45</v>
      </c>
      <c r="G8524" t="s">
        <v>21</v>
      </c>
      <c r="H8524" t="s">
        <v>15</v>
      </c>
      <c r="I8524" t="s">
        <v>46</v>
      </c>
      <c r="J8524">
        <v>0</v>
      </c>
      <c r="K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3DA5-6802-4329-80DA-A0FD710AEA3C}">
  <dimension ref="A2:J174"/>
  <sheetViews>
    <sheetView tabSelected="1" topLeftCell="A134" zoomScale="79" workbookViewId="0">
      <selection activeCell="G117" sqref="G117"/>
    </sheetView>
  </sheetViews>
  <sheetFormatPr defaultRowHeight="15.75" x14ac:dyDescent="0.25"/>
  <cols>
    <col min="1" max="1" width="17.75" bestFit="1" customWidth="1"/>
    <col min="2" max="2" width="15.375" bestFit="1" customWidth="1"/>
    <col min="3" max="3" width="8.25" bestFit="1" customWidth="1"/>
    <col min="4" max="4" width="16.375" bestFit="1" customWidth="1"/>
    <col min="5" max="5" width="16.25" bestFit="1" customWidth="1"/>
    <col min="6" max="6" width="15" bestFit="1" customWidth="1"/>
    <col min="7" max="7" width="16.375" bestFit="1" customWidth="1"/>
    <col min="8" max="8" width="16.25" bestFit="1" customWidth="1"/>
  </cols>
  <sheetData>
    <row r="2" spans="1:6" ht="16.5" thickBot="1" x14ac:dyDescent="0.3"/>
    <row r="3" spans="1:6" ht="16.5" thickBot="1" x14ac:dyDescent="0.3">
      <c r="A3" s="14" t="s">
        <v>1611</v>
      </c>
      <c r="B3" s="15" t="s">
        <v>1612</v>
      </c>
      <c r="C3" s="15" t="s">
        <v>1614</v>
      </c>
      <c r="D3" s="17" t="s">
        <v>1615</v>
      </c>
    </row>
    <row r="4" spans="1:6" ht="16.5" thickBot="1" x14ac:dyDescent="0.3">
      <c r="A4" s="47">
        <v>1201681.4928000034</v>
      </c>
      <c r="B4" s="48">
        <v>140.99278338613203</v>
      </c>
      <c r="C4" s="48">
        <v>8523</v>
      </c>
      <c r="D4" s="16">
        <v>3.9658570925731196</v>
      </c>
    </row>
    <row r="5" spans="1:6" x14ac:dyDescent="0.25">
      <c r="A5" s="4"/>
      <c r="D5" s="5"/>
    </row>
    <row r="6" spans="1:6" x14ac:dyDescent="0.25">
      <c r="A6" s="11">
        <f>GETPIVOTDATA("Sum of Sales",$A$3)</f>
        <v>1201681.4928000034</v>
      </c>
      <c r="B6" s="6">
        <f>GETPIVOTDATA("Average of Sales",$A$3)</f>
        <v>140.99278338613203</v>
      </c>
      <c r="C6">
        <f>GETPIVOTDATA("Count of Serial no",$A$3)</f>
        <v>8523</v>
      </c>
      <c r="D6" s="7">
        <f>GETPIVOTDATA("Average of Rating",$A$3)</f>
        <v>3.9658570925731196</v>
      </c>
    </row>
    <row r="7" spans="1:6" ht="16.5" thickBot="1" x14ac:dyDescent="0.3">
      <c r="A7" s="8"/>
      <c r="B7" s="9"/>
      <c r="C7" s="9"/>
      <c r="D7" s="13"/>
    </row>
    <row r="9" spans="1:6" ht="16.5" thickBot="1" x14ac:dyDescent="0.3"/>
    <row r="10" spans="1:6" ht="16.5" thickBot="1" x14ac:dyDescent="0.3">
      <c r="A10" s="20" t="s">
        <v>1616</v>
      </c>
      <c r="B10" s="22" t="s">
        <v>1611</v>
      </c>
      <c r="C10" s="2"/>
      <c r="F10" s="3"/>
    </row>
    <row r="11" spans="1:6" x14ac:dyDescent="0.25">
      <c r="A11" s="21" t="s">
        <v>17</v>
      </c>
      <c r="B11" s="24">
        <v>776319.68840000057</v>
      </c>
      <c r="D11" s="5"/>
    </row>
    <row r="12" spans="1:6" ht="16.5" thickBot="1" x14ac:dyDescent="0.3">
      <c r="A12" s="19" t="s">
        <v>10</v>
      </c>
      <c r="B12" s="23">
        <v>425361.8043999995</v>
      </c>
      <c r="D12" s="5"/>
    </row>
    <row r="13" spans="1:6" x14ac:dyDescent="0.25">
      <c r="D13" s="5"/>
    </row>
    <row r="14" spans="1:6" x14ac:dyDescent="0.25">
      <c r="A14" s="4"/>
      <c r="D14" s="5"/>
    </row>
    <row r="15" spans="1:6" x14ac:dyDescent="0.25">
      <c r="A15" s="4"/>
      <c r="D15" s="5"/>
    </row>
    <row r="16" spans="1:6" x14ac:dyDescent="0.25">
      <c r="A16" s="4"/>
      <c r="D16" s="5"/>
    </row>
    <row r="17" spans="1:6" x14ac:dyDescent="0.25">
      <c r="A17" s="4"/>
      <c r="D17" s="5"/>
    </row>
    <row r="18" spans="1:6" x14ac:dyDescent="0.25">
      <c r="A18" s="4"/>
      <c r="D18" s="5"/>
    </row>
    <row r="19" spans="1:6" x14ac:dyDescent="0.25">
      <c r="A19" s="4"/>
      <c r="D19" s="5"/>
    </row>
    <row r="20" spans="1:6" ht="26.25" thickBot="1" x14ac:dyDescent="0.5">
      <c r="A20" s="38" t="s">
        <v>1617</v>
      </c>
      <c r="B20" s="39"/>
      <c r="C20" s="39"/>
      <c r="D20" s="40"/>
    </row>
    <row r="22" spans="1:6" ht="16.5" thickBot="1" x14ac:dyDescent="0.3"/>
    <row r="23" spans="1:6" ht="24.75" x14ac:dyDescent="0.45">
      <c r="A23" s="41" t="s">
        <v>1619</v>
      </c>
      <c r="B23" s="42"/>
      <c r="C23" s="42"/>
      <c r="D23" s="42"/>
      <c r="E23" s="42"/>
      <c r="F23" s="43"/>
    </row>
    <row r="24" spans="1:6" ht="16.5" thickBot="1" x14ac:dyDescent="0.3">
      <c r="A24" s="4"/>
      <c r="F24" s="5"/>
    </row>
    <row r="25" spans="1:6" ht="16.5" thickBot="1" x14ac:dyDescent="0.3">
      <c r="A25" s="20" t="s">
        <v>1611</v>
      </c>
      <c r="B25" s="20" t="s">
        <v>1618</v>
      </c>
      <c r="C25" s="22"/>
      <c r="F25" s="5"/>
    </row>
    <row r="26" spans="1:6" ht="16.5" thickBot="1" x14ac:dyDescent="0.3">
      <c r="A26" s="20" t="s">
        <v>1616</v>
      </c>
      <c r="B26" s="14" t="s">
        <v>17</v>
      </c>
      <c r="C26" s="17" t="s">
        <v>10</v>
      </c>
      <c r="F26" s="5"/>
    </row>
    <row r="27" spans="1:6" x14ac:dyDescent="0.25">
      <c r="A27" s="21" t="s">
        <v>14</v>
      </c>
      <c r="B27" s="53">
        <v>215047.9126000001</v>
      </c>
      <c r="C27" s="54">
        <v>121349.89940000001</v>
      </c>
      <c r="F27" s="5"/>
    </row>
    <row r="28" spans="1:6" x14ac:dyDescent="0.25">
      <c r="A28" s="51" t="s">
        <v>34</v>
      </c>
      <c r="B28" s="55">
        <v>254464.77940000014</v>
      </c>
      <c r="C28" s="49">
        <v>138685.86819999994</v>
      </c>
      <c r="F28" s="5"/>
    </row>
    <row r="29" spans="1:6" ht="16.5" thickBot="1" x14ac:dyDescent="0.3">
      <c r="A29" s="19" t="s">
        <v>21</v>
      </c>
      <c r="B29" s="56">
        <v>306806.99640000012</v>
      </c>
      <c r="C29" s="50">
        <v>165326.0368</v>
      </c>
      <c r="F29" s="5"/>
    </row>
    <row r="30" spans="1:6" x14ac:dyDescent="0.25">
      <c r="A30" s="4"/>
      <c r="F30" s="5"/>
    </row>
    <row r="31" spans="1:6" x14ac:dyDescent="0.25">
      <c r="A31" s="4"/>
      <c r="F31" s="5"/>
    </row>
    <row r="32" spans="1:6" x14ac:dyDescent="0.25">
      <c r="A32" s="4"/>
      <c r="F32" s="5"/>
    </row>
    <row r="33" spans="1:7" x14ac:dyDescent="0.25">
      <c r="A33" s="4"/>
      <c r="F33" s="5"/>
    </row>
    <row r="34" spans="1:7" ht="16.5" thickBot="1" x14ac:dyDescent="0.3">
      <c r="A34" s="8"/>
      <c r="B34" s="9"/>
      <c r="C34" s="9"/>
      <c r="D34" s="9"/>
      <c r="E34" s="9"/>
      <c r="F34" s="10"/>
    </row>
    <row r="37" spans="1:7" ht="16.5" thickBot="1" x14ac:dyDescent="0.3"/>
    <row r="38" spans="1:7" x14ac:dyDescent="0.25">
      <c r="A38" s="1"/>
      <c r="B38" s="2"/>
      <c r="C38" s="2"/>
      <c r="D38" s="2"/>
      <c r="E38" s="2"/>
      <c r="F38" s="2"/>
      <c r="G38" s="3"/>
    </row>
    <row r="39" spans="1:7" x14ac:dyDescent="0.25">
      <c r="A39" s="35" t="s">
        <v>1619</v>
      </c>
      <c r="B39" s="36"/>
      <c r="C39" s="36"/>
      <c r="D39" s="36"/>
      <c r="E39" s="36"/>
      <c r="F39" s="36"/>
      <c r="G39" s="37"/>
    </row>
    <row r="40" spans="1:7" ht="16.5" thickBot="1" x14ac:dyDescent="0.3">
      <c r="A40" s="4"/>
      <c r="G40" s="5"/>
    </row>
    <row r="41" spans="1:7" ht="16.5" thickBot="1" x14ac:dyDescent="0.3">
      <c r="A41" s="20" t="s">
        <v>1616</v>
      </c>
      <c r="B41" s="28" t="s">
        <v>1611</v>
      </c>
      <c r="G41" s="5"/>
    </row>
    <row r="42" spans="1:7" x14ac:dyDescent="0.25">
      <c r="A42" s="21" t="s">
        <v>153</v>
      </c>
      <c r="B42" s="24">
        <v>9077.869999999999</v>
      </c>
      <c r="G42" s="5"/>
    </row>
    <row r="43" spans="1:7" x14ac:dyDescent="0.25">
      <c r="A43" s="51" t="s">
        <v>74</v>
      </c>
      <c r="B43" s="26">
        <v>15596.696600000001</v>
      </c>
      <c r="G43" s="5"/>
    </row>
    <row r="44" spans="1:7" x14ac:dyDescent="0.25">
      <c r="A44" s="51" t="s">
        <v>159</v>
      </c>
      <c r="B44" s="26">
        <v>21880.027399999992</v>
      </c>
      <c r="G44" s="5"/>
    </row>
    <row r="45" spans="1:7" x14ac:dyDescent="0.25">
      <c r="A45" s="51" t="s">
        <v>64</v>
      </c>
      <c r="B45" s="26">
        <v>22451.891599999999</v>
      </c>
      <c r="G45" s="5"/>
    </row>
    <row r="46" spans="1:7" x14ac:dyDescent="0.25">
      <c r="A46" s="51" t="s">
        <v>61</v>
      </c>
      <c r="B46" s="26">
        <v>29334.680599999996</v>
      </c>
      <c r="G46" s="5"/>
    </row>
    <row r="47" spans="1:7" x14ac:dyDescent="0.25">
      <c r="A47" s="51" t="s">
        <v>57</v>
      </c>
      <c r="B47" s="26">
        <v>35379.119800000015</v>
      </c>
      <c r="G47" s="5"/>
    </row>
    <row r="48" spans="1:7" x14ac:dyDescent="0.25">
      <c r="A48" s="51" t="s">
        <v>32</v>
      </c>
      <c r="B48" s="26">
        <v>58514.166999999987</v>
      </c>
      <c r="G48" s="5"/>
    </row>
    <row r="49" spans="1:7" x14ac:dyDescent="0.25">
      <c r="A49" s="51" t="s">
        <v>54</v>
      </c>
      <c r="B49" s="26">
        <v>59449.863799999992</v>
      </c>
      <c r="G49" s="5"/>
    </row>
    <row r="50" spans="1:7" x14ac:dyDescent="0.25">
      <c r="A50" s="51" t="s">
        <v>19</v>
      </c>
      <c r="B50" s="26">
        <v>68025.838800000012</v>
      </c>
      <c r="G50" s="5"/>
    </row>
    <row r="51" spans="1:7" x14ac:dyDescent="0.25">
      <c r="A51" s="51" t="s">
        <v>95</v>
      </c>
      <c r="B51" s="26">
        <v>81894.736400000009</v>
      </c>
      <c r="G51" s="5"/>
    </row>
    <row r="52" spans="1:7" x14ac:dyDescent="0.25">
      <c r="A52" s="51" t="s">
        <v>28</v>
      </c>
      <c r="B52" s="26">
        <v>90706.728999999992</v>
      </c>
      <c r="G52" s="5"/>
    </row>
    <row r="53" spans="1:7" x14ac:dyDescent="0.25">
      <c r="A53" s="51" t="s">
        <v>67</v>
      </c>
      <c r="B53" s="26">
        <v>101276.46159999995</v>
      </c>
      <c r="G53" s="5"/>
    </row>
    <row r="54" spans="1:7" x14ac:dyDescent="0.25">
      <c r="A54" s="51" t="s">
        <v>24</v>
      </c>
      <c r="B54" s="26">
        <v>118558.88140000009</v>
      </c>
      <c r="G54" s="5"/>
    </row>
    <row r="55" spans="1:7" x14ac:dyDescent="0.25">
      <c r="A55" s="51" t="s">
        <v>42</v>
      </c>
      <c r="B55" s="26">
        <v>135976.52539999998</v>
      </c>
      <c r="G55" s="5"/>
    </row>
    <row r="56" spans="1:7" x14ac:dyDescent="0.25">
      <c r="A56" s="51" t="s">
        <v>48</v>
      </c>
      <c r="B56" s="26">
        <v>175433.92240000021</v>
      </c>
      <c r="G56" s="5"/>
    </row>
    <row r="57" spans="1:7" ht="16.5" thickBot="1" x14ac:dyDescent="0.3">
      <c r="A57" s="19" t="s">
        <v>12</v>
      </c>
      <c r="B57" s="23">
        <v>178124.08099999995</v>
      </c>
      <c r="C57" s="9"/>
      <c r="D57" s="9"/>
      <c r="E57" s="9"/>
      <c r="F57" s="9"/>
      <c r="G57" s="10"/>
    </row>
    <row r="58" spans="1:7" ht="16.5" thickBot="1" x14ac:dyDescent="0.3"/>
    <row r="59" spans="1:7" x14ac:dyDescent="0.25">
      <c r="A59" s="1"/>
      <c r="B59" s="2"/>
      <c r="C59" s="2"/>
      <c r="D59" s="2"/>
      <c r="E59" s="3"/>
    </row>
    <row r="60" spans="1:7" ht="27" x14ac:dyDescent="0.5">
      <c r="A60" s="44" t="s">
        <v>1620</v>
      </c>
      <c r="B60" s="45"/>
      <c r="C60" s="45"/>
      <c r="D60" s="45"/>
      <c r="E60" s="46"/>
    </row>
    <row r="61" spans="1:7" ht="16.5" thickBot="1" x14ac:dyDescent="0.3">
      <c r="A61" s="4"/>
      <c r="E61" s="5"/>
    </row>
    <row r="62" spans="1:7" ht="16.5" thickBot="1" x14ac:dyDescent="0.3">
      <c r="A62" s="20" t="s">
        <v>1616</v>
      </c>
      <c r="B62" s="28" t="s">
        <v>1611</v>
      </c>
      <c r="E62" s="5"/>
    </row>
    <row r="63" spans="1:7" x14ac:dyDescent="0.25">
      <c r="A63" s="21">
        <v>2011</v>
      </c>
      <c r="B63" s="24">
        <v>78131.566599999976</v>
      </c>
      <c r="E63" s="5"/>
    </row>
    <row r="64" spans="1:7" ht="16.5" thickBot="1" x14ac:dyDescent="0.3">
      <c r="A64" s="19">
        <v>2012</v>
      </c>
      <c r="B64" s="26">
        <v>130476.85979999998</v>
      </c>
      <c r="E64" s="5"/>
    </row>
    <row r="65" spans="1:6" ht="16.5" thickBot="1" x14ac:dyDescent="0.3">
      <c r="A65" s="18">
        <v>2014</v>
      </c>
      <c r="B65" s="26">
        <v>131809.01560000007</v>
      </c>
      <c r="E65" s="5"/>
    </row>
    <row r="66" spans="1:6" ht="16.5" thickBot="1" x14ac:dyDescent="0.3">
      <c r="A66" s="25">
        <v>2015</v>
      </c>
      <c r="B66" s="26">
        <v>130942.78019999999</v>
      </c>
      <c r="E66" s="5"/>
    </row>
    <row r="67" spans="1:6" x14ac:dyDescent="0.25">
      <c r="A67" s="18">
        <v>2016</v>
      </c>
      <c r="B67" s="26">
        <v>132113.36980000007</v>
      </c>
      <c r="E67" s="5"/>
    </row>
    <row r="68" spans="1:6" ht="16.5" thickBot="1" x14ac:dyDescent="0.3">
      <c r="A68" s="18">
        <v>2017</v>
      </c>
      <c r="B68" s="26">
        <v>133103.90699999989</v>
      </c>
      <c r="E68" s="5"/>
    </row>
    <row r="69" spans="1:6" x14ac:dyDescent="0.25">
      <c r="A69" s="21">
        <v>2018</v>
      </c>
      <c r="B69" s="26">
        <v>204522.25700000025</v>
      </c>
      <c r="E69" s="5"/>
    </row>
    <row r="70" spans="1:6" x14ac:dyDescent="0.25">
      <c r="A70" s="51">
        <v>2020</v>
      </c>
      <c r="B70" s="26">
        <v>129103.96039999987</v>
      </c>
      <c r="E70" s="5"/>
    </row>
    <row r="71" spans="1:6" ht="16.5" thickBot="1" x14ac:dyDescent="0.3">
      <c r="A71" s="19">
        <v>2022</v>
      </c>
      <c r="B71" s="23">
        <v>131477.77639999994</v>
      </c>
      <c r="E71" s="5"/>
    </row>
    <row r="72" spans="1:6" ht="16.5" thickBot="1" x14ac:dyDescent="0.3">
      <c r="A72" s="8"/>
      <c r="B72" s="9"/>
      <c r="C72" s="9"/>
      <c r="D72" s="9"/>
      <c r="E72" s="10"/>
    </row>
    <row r="73" spans="1:6" ht="19.5" customHeight="1" thickBot="1" x14ac:dyDescent="0.3"/>
    <row r="74" spans="1:6" x14ac:dyDescent="0.25">
      <c r="A74" s="1"/>
      <c r="B74" s="2"/>
      <c r="C74" s="2"/>
      <c r="D74" s="2"/>
      <c r="E74" s="2"/>
      <c r="F74" s="3"/>
    </row>
    <row r="75" spans="1:6" x14ac:dyDescent="0.25">
      <c r="A75" s="35" t="s">
        <v>1621</v>
      </c>
      <c r="B75" s="36"/>
      <c r="C75" s="36"/>
      <c r="D75" s="36"/>
      <c r="E75" s="36"/>
      <c r="F75" s="37"/>
    </row>
    <row r="76" spans="1:6" ht="16.5" thickBot="1" x14ac:dyDescent="0.3">
      <c r="A76" s="4"/>
      <c r="F76" s="5"/>
    </row>
    <row r="77" spans="1:6" ht="16.5" thickBot="1" x14ac:dyDescent="0.3">
      <c r="A77" s="20" t="s">
        <v>1616</v>
      </c>
      <c r="B77" s="28" t="s">
        <v>1611</v>
      </c>
      <c r="F77" s="5"/>
    </row>
    <row r="78" spans="1:6" x14ac:dyDescent="0.25">
      <c r="A78" s="21" t="s">
        <v>30</v>
      </c>
      <c r="B78" s="24">
        <v>248991.58600000024</v>
      </c>
      <c r="F78" s="5"/>
    </row>
    <row r="79" spans="1:6" x14ac:dyDescent="0.25">
      <c r="A79" s="51" t="s">
        <v>15</v>
      </c>
      <c r="B79" s="26">
        <v>507895.7363999993</v>
      </c>
      <c r="F79" s="5"/>
    </row>
    <row r="80" spans="1:6" ht="16.5" thickBot="1" x14ac:dyDescent="0.3">
      <c r="A80" s="19" t="s">
        <v>26</v>
      </c>
      <c r="B80" s="23">
        <v>444794.17039999936</v>
      </c>
      <c r="F80" s="5"/>
    </row>
    <row r="81" spans="1:10" x14ac:dyDescent="0.25">
      <c r="A81" s="4"/>
      <c r="F81" s="5"/>
    </row>
    <row r="82" spans="1:10" x14ac:dyDescent="0.25">
      <c r="A82" s="4"/>
      <c r="F82" s="5"/>
    </row>
    <row r="83" spans="1:10" x14ac:dyDescent="0.25">
      <c r="A83" s="4"/>
      <c r="F83" s="5"/>
    </row>
    <row r="84" spans="1:10" x14ac:dyDescent="0.25">
      <c r="A84" s="4"/>
      <c r="F84" s="5"/>
    </row>
    <row r="85" spans="1:10" x14ac:dyDescent="0.25">
      <c r="A85" s="4"/>
      <c r="F85" s="5"/>
    </row>
    <row r="86" spans="1:10" x14ac:dyDescent="0.25">
      <c r="A86" s="4"/>
      <c r="F86" s="5"/>
    </row>
    <row r="87" spans="1:10" x14ac:dyDescent="0.25">
      <c r="A87" s="4"/>
      <c r="F87" s="5"/>
    </row>
    <row r="88" spans="1:10" x14ac:dyDescent="0.25">
      <c r="A88" s="4"/>
      <c r="F88" s="5"/>
    </row>
    <row r="89" spans="1:10" ht="16.5" thickBot="1" x14ac:dyDescent="0.3">
      <c r="A89" s="8"/>
      <c r="B89" s="9"/>
      <c r="C89" s="9"/>
      <c r="D89" s="9"/>
      <c r="E89" s="9"/>
      <c r="F89" s="10"/>
    </row>
    <row r="91" spans="1:10" ht="16.5" thickBot="1" x14ac:dyDescent="0.3"/>
    <row r="92" spans="1:10" x14ac:dyDescent="0.25">
      <c r="A92" s="1"/>
      <c r="B92" s="2"/>
      <c r="C92" s="2"/>
      <c r="D92" s="2"/>
      <c r="E92" s="2"/>
      <c r="F92" s="2"/>
      <c r="G92" s="2"/>
      <c r="H92" s="2"/>
      <c r="I92" s="2"/>
      <c r="J92" s="3"/>
    </row>
    <row r="93" spans="1:10" x14ac:dyDescent="0.25">
      <c r="A93" s="35" t="s">
        <v>1624</v>
      </c>
      <c r="B93" s="36"/>
      <c r="C93" s="36"/>
      <c r="D93" s="36"/>
      <c r="E93" s="36"/>
      <c r="F93" s="36"/>
      <c r="G93" s="36"/>
      <c r="H93" s="36"/>
      <c r="I93" s="36"/>
      <c r="J93" s="37"/>
    </row>
    <row r="94" spans="1:10" ht="16.5" thickBot="1" x14ac:dyDescent="0.3">
      <c r="A94" s="4"/>
      <c r="J94" s="5"/>
    </row>
    <row r="95" spans="1:10" ht="16.5" thickBot="1" x14ac:dyDescent="0.3">
      <c r="A95" s="20" t="s">
        <v>1616</v>
      </c>
      <c r="B95" s="28" t="s">
        <v>1611</v>
      </c>
      <c r="D95" t="s">
        <v>1622</v>
      </c>
      <c r="E95" t="s">
        <v>1623</v>
      </c>
      <c r="J95" s="5"/>
    </row>
    <row r="96" spans="1:10" x14ac:dyDescent="0.25">
      <c r="A96" s="21" t="s">
        <v>21</v>
      </c>
      <c r="B96" s="24">
        <v>472133.03319999954</v>
      </c>
      <c r="D96" t="str">
        <f>A96</f>
        <v>Tier 3</v>
      </c>
      <c r="E96" s="27">
        <f>GETPIVOTDATA("Sales",$A$95,"Outlet Location Type","Tier 1")</f>
        <v>336397.81199999945</v>
      </c>
      <c r="J96" s="5"/>
    </row>
    <row r="97" spans="1:10" x14ac:dyDescent="0.25">
      <c r="A97" s="51" t="s">
        <v>34</v>
      </c>
      <c r="B97" s="26">
        <v>393150.64759999956</v>
      </c>
      <c r="D97" t="str">
        <f t="shared" ref="D97:D98" si="0">A97</f>
        <v>Tier 2</v>
      </c>
      <c r="E97" s="27">
        <f>GETPIVOTDATA("Sales",$A$95,"Outlet Location Type","Tier 2")</f>
        <v>393150.64759999956</v>
      </c>
      <c r="J97" s="5"/>
    </row>
    <row r="98" spans="1:10" ht="16.5" thickBot="1" x14ac:dyDescent="0.3">
      <c r="A98" s="19" t="s">
        <v>14</v>
      </c>
      <c r="B98" s="23">
        <v>336397.81199999945</v>
      </c>
      <c r="D98" t="str">
        <f t="shared" si="0"/>
        <v>Tier 1</v>
      </c>
      <c r="E98" s="27">
        <f>GETPIVOTDATA("Sales",$A$95,"Outlet Location Type","Tier 3")</f>
        <v>472133.03319999954</v>
      </c>
      <c r="J98" s="5"/>
    </row>
    <row r="99" spans="1:10" x14ac:dyDescent="0.25">
      <c r="A99" s="4"/>
      <c r="J99" s="5"/>
    </row>
    <row r="100" spans="1:10" x14ac:dyDescent="0.25">
      <c r="A100" s="4"/>
      <c r="J100" s="5"/>
    </row>
    <row r="101" spans="1:10" x14ac:dyDescent="0.25">
      <c r="A101" s="4"/>
      <c r="J101" s="5"/>
    </row>
    <row r="102" spans="1:10" x14ac:dyDescent="0.25">
      <c r="A102" s="4"/>
      <c r="J102" s="5"/>
    </row>
    <row r="103" spans="1:10" x14ac:dyDescent="0.25">
      <c r="A103" s="4"/>
      <c r="J103" s="5"/>
    </row>
    <row r="104" spans="1:10" x14ac:dyDescent="0.25">
      <c r="A104" s="4"/>
      <c r="J104" s="5"/>
    </row>
    <row r="105" spans="1:10" x14ac:dyDescent="0.25">
      <c r="A105" s="4"/>
      <c r="J105" s="5"/>
    </row>
    <row r="106" spans="1:10" x14ac:dyDescent="0.25">
      <c r="A106" s="4"/>
      <c r="J106" s="5"/>
    </row>
    <row r="107" spans="1:10" x14ac:dyDescent="0.25">
      <c r="A107" s="4"/>
      <c r="J107" s="5"/>
    </row>
    <row r="108" spans="1:10" ht="16.5" thickBot="1" x14ac:dyDescent="0.3">
      <c r="A108" s="8"/>
      <c r="B108" s="9"/>
      <c r="C108" s="9"/>
      <c r="D108" s="9"/>
      <c r="E108" s="9"/>
      <c r="F108" s="9"/>
      <c r="G108" s="9"/>
      <c r="H108" s="9"/>
      <c r="I108" s="9"/>
      <c r="J108" s="10"/>
    </row>
    <row r="111" spans="1:10" ht="16.5" thickBot="1" x14ac:dyDescent="0.3"/>
    <row r="112" spans="1:10" x14ac:dyDescent="0.25">
      <c r="A112" s="31"/>
      <c r="B112" s="32"/>
      <c r="C112" s="33" t="s">
        <v>1625</v>
      </c>
      <c r="D112" s="32"/>
      <c r="E112" s="32"/>
      <c r="F112" s="34"/>
    </row>
    <row r="113" spans="1:6" ht="16.5" thickBot="1" x14ac:dyDescent="0.3">
      <c r="A113" s="4"/>
      <c r="F113" s="5"/>
    </row>
    <row r="114" spans="1:6" ht="16.5" thickBot="1" x14ac:dyDescent="0.3">
      <c r="A114" s="20" t="s">
        <v>1616</v>
      </c>
      <c r="B114" s="28" t="s">
        <v>1611</v>
      </c>
      <c r="F114" s="5"/>
    </row>
    <row r="115" spans="1:6" x14ac:dyDescent="0.25">
      <c r="A115" s="21" t="s">
        <v>40</v>
      </c>
      <c r="B115" s="24">
        <v>151939.149</v>
      </c>
      <c r="F115" s="5"/>
    </row>
    <row r="116" spans="1:6" x14ac:dyDescent="0.25">
      <c r="A116" s="51" t="s">
        <v>46</v>
      </c>
      <c r="B116" s="26">
        <v>130714.67460000006</v>
      </c>
      <c r="F116" s="5"/>
    </row>
    <row r="117" spans="1:6" x14ac:dyDescent="0.25">
      <c r="A117" s="51" t="s">
        <v>22</v>
      </c>
      <c r="B117" s="26">
        <v>131477.77639999994</v>
      </c>
      <c r="F117" s="5"/>
    </row>
    <row r="118" spans="1:6" ht="16.5" thickBot="1" x14ac:dyDescent="0.3">
      <c r="A118" s="19" t="s">
        <v>16</v>
      </c>
      <c r="B118" s="23">
        <v>787549.89280000131</v>
      </c>
      <c r="F118" s="5"/>
    </row>
    <row r="119" spans="1:6" x14ac:dyDescent="0.25">
      <c r="A119" s="4"/>
      <c r="F119" s="5"/>
    </row>
    <row r="120" spans="1:6" x14ac:dyDescent="0.25">
      <c r="A120" s="4"/>
      <c r="F120" s="5"/>
    </row>
    <row r="121" spans="1:6" x14ac:dyDescent="0.25">
      <c r="A121" s="4"/>
      <c r="F121" s="5"/>
    </row>
    <row r="122" spans="1:6" x14ac:dyDescent="0.25">
      <c r="A122" s="4"/>
      <c r="F122" s="5"/>
    </row>
    <row r="123" spans="1:6" x14ac:dyDescent="0.25">
      <c r="A123" s="4"/>
      <c r="F123" s="5"/>
    </row>
    <row r="124" spans="1:6" x14ac:dyDescent="0.25">
      <c r="A124" s="4"/>
      <c r="F124" s="5"/>
    </row>
    <row r="125" spans="1:6" ht="16.5" thickBot="1" x14ac:dyDescent="0.3">
      <c r="A125" s="4"/>
      <c r="F125" s="5"/>
    </row>
    <row r="126" spans="1:6" ht="16.5" thickBot="1" x14ac:dyDescent="0.3">
      <c r="A126" s="20" t="s">
        <v>1616</v>
      </c>
      <c r="B126" s="28" t="s">
        <v>1612</v>
      </c>
      <c r="F126" s="5"/>
    </row>
    <row r="127" spans="1:6" x14ac:dyDescent="0.25">
      <c r="A127" s="21" t="s">
        <v>40</v>
      </c>
      <c r="B127" s="29">
        <v>140.29468975069253</v>
      </c>
      <c r="F127" s="5"/>
    </row>
    <row r="128" spans="1:6" x14ac:dyDescent="0.25">
      <c r="A128" s="51" t="s">
        <v>46</v>
      </c>
      <c r="B128" s="52">
        <v>139.80179101604284</v>
      </c>
      <c r="F128" s="5"/>
    </row>
    <row r="129" spans="1:6" x14ac:dyDescent="0.25">
      <c r="A129" s="51" t="s">
        <v>22</v>
      </c>
      <c r="B129" s="52">
        <v>141.67863836206891</v>
      </c>
      <c r="F129" s="5"/>
    </row>
    <row r="130" spans="1:6" ht="16.5" thickBot="1" x14ac:dyDescent="0.3">
      <c r="A130" s="19" t="s">
        <v>16</v>
      </c>
      <c r="B130" s="30">
        <v>141.21389506903375</v>
      </c>
      <c r="F130" s="5"/>
    </row>
    <row r="131" spans="1:6" x14ac:dyDescent="0.25">
      <c r="A131" s="4"/>
      <c r="F131" s="5"/>
    </row>
    <row r="132" spans="1:6" x14ac:dyDescent="0.25">
      <c r="A132" s="4"/>
      <c r="F132" s="5"/>
    </row>
    <row r="133" spans="1:6" x14ac:dyDescent="0.25">
      <c r="A133" s="4"/>
      <c r="F133" s="5"/>
    </row>
    <row r="134" spans="1:6" ht="16.5" thickBot="1" x14ac:dyDescent="0.3">
      <c r="A134" s="8"/>
      <c r="B134" s="9"/>
      <c r="C134" s="9"/>
      <c r="D134" s="9"/>
      <c r="E134" s="9"/>
      <c r="F134" s="10"/>
    </row>
    <row r="139" spans="1:6" ht="16.5" thickBot="1" x14ac:dyDescent="0.3"/>
    <row r="140" spans="1:6" ht="16.5" thickBot="1" x14ac:dyDescent="0.3"/>
    <row r="146" ht="16.5" thickBot="1" x14ac:dyDescent="0.3"/>
    <row r="147" ht="16.5" thickBot="1" x14ac:dyDescent="0.3"/>
    <row r="153" ht="16.5" thickBot="1" x14ac:dyDescent="0.3"/>
    <row r="154" ht="16.5" thickBot="1" x14ac:dyDescent="0.3"/>
    <row r="160" ht="16.5" thickBot="1" x14ac:dyDescent="0.3"/>
    <row r="161" ht="16.5" thickBot="1" x14ac:dyDescent="0.3"/>
    <row r="167" ht="16.5" thickBot="1" x14ac:dyDescent="0.3"/>
    <row r="168" ht="16.5" thickBot="1" x14ac:dyDescent="0.3"/>
    <row r="174" ht="16.5" thickBot="1" x14ac:dyDescent="0.3"/>
  </sheetData>
  <mergeCells count="6">
    <mergeCell ref="A93:J93"/>
    <mergeCell ref="A20:D20"/>
    <mergeCell ref="A23:F23"/>
    <mergeCell ref="A39:G39"/>
    <mergeCell ref="A60:E60"/>
    <mergeCell ref="A75:F75"/>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80547-CEEF-4BB8-8A26-776CF80479C1}">
  <dimension ref="I17"/>
  <sheetViews>
    <sheetView showGridLines="0" zoomScale="63" zoomScaleNormal="66" workbookViewId="0">
      <selection activeCell="AB17" sqref="AB17"/>
    </sheetView>
  </sheetViews>
  <sheetFormatPr defaultRowHeight="15.75" x14ac:dyDescent="0.25"/>
  <sheetData>
    <row r="17" spans="9:9" ht="31.5" x14ac:dyDescent="0.5">
      <c r="I1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amit kumar yadav</cp:lastModifiedBy>
  <dcterms:created xsi:type="dcterms:W3CDTF">2024-06-23T13:11:17Z</dcterms:created>
  <dcterms:modified xsi:type="dcterms:W3CDTF">2026-06-14T05:53:36Z</dcterms:modified>
</cp:coreProperties>
</file>